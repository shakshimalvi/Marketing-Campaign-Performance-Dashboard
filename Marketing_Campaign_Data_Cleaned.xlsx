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https://d.docs.live.net/b47a11c88df219ad/Desktop/Data Science by Shakshi/Innomatics Research Lab/Project/"/>
    </mc:Choice>
  </mc:AlternateContent>
  <xr:revisionPtr revIDLastSave="0" documentId="8_{BDDFB36A-2C29-489F-A57E-8EE88D4EE443}" xr6:coauthVersionLast="47" xr6:coauthVersionMax="47" xr10:uidLastSave="{00000000-0000-0000-0000-000000000000}"/>
  <bookViews>
    <workbookView xWindow="-108" yWindow="-108" windowWidth="23256" windowHeight="12456" activeTab="2" xr2:uid="{00000000-000D-0000-FFFF-FFFF00000000}"/>
  </bookViews>
  <sheets>
    <sheet name="Marketing Campaign data" sheetId="1" r:id="rId1"/>
    <sheet name="Pivot table" sheetId="2" r:id="rId2"/>
    <sheet name="Dashboard" sheetId="3" r:id="rId3"/>
  </sheets>
  <definedNames>
    <definedName name="_xlchart.v2.0" hidden="1">'Pivot table'!$J$20:$J$22</definedName>
    <definedName name="_xlchart.v2.1" hidden="1">'Pivot table'!$K$19</definedName>
    <definedName name="_xlchart.v2.2" hidden="1">'Pivot table'!$K$20:$K$22</definedName>
    <definedName name="_xlchart.v2.3" hidden="1">'Pivot table'!$J$20:$J$22</definedName>
    <definedName name="_xlchart.v2.4" hidden="1">'Pivot table'!$K$19</definedName>
    <definedName name="_xlchart.v2.5" hidden="1">'Pivot table'!$K$20:$K$22</definedName>
    <definedName name="Slicer_Channel">#N/A</definedName>
    <definedName name="Slicer_Region">#N/A</definedName>
    <definedName name="Slicer_Year">#N/A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00" i="1" l="1"/>
  <c r="S50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2"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3" i="1"/>
  <c r="K4" i="1"/>
  <c r="K5" i="1"/>
  <c r="K6" i="1"/>
  <c r="K7" i="1"/>
  <c r="K8" i="1"/>
  <c r="K9" i="1"/>
  <c r="K10" i="1"/>
  <c r="K11" i="1"/>
  <c r="K12" i="1"/>
  <c r="K13" i="1"/>
  <c r="K14" i="1"/>
  <c r="K15" i="1"/>
  <c r="K16" i="1"/>
  <c r="K17" i="1"/>
  <c r="K18" i="1"/>
  <c r="K19" i="1"/>
  <c r="K20" i="1"/>
  <c r="K21" i="1"/>
  <c r="K22" i="1"/>
  <c r="K23" i="1"/>
  <c r="K24" i="1"/>
  <c r="K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2" i="1"/>
</calcChain>
</file>

<file path=xl/sharedStrings.xml><?xml version="1.0" encoding="utf-8"?>
<sst xmlns="http://schemas.openxmlformats.org/spreadsheetml/2006/main" count="1567" uniqueCount="545">
  <si>
    <t>Campaign_ID</t>
  </si>
  <si>
    <t>Date</t>
  </si>
  <si>
    <t>Channel</t>
  </si>
  <si>
    <t>Region</t>
  </si>
  <si>
    <t>Budget ($)</t>
  </si>
  <si>
    <t>Spend ($)</t>
  </si>
  <si>
    <t>Impressions</t>
  </si>
  <si>
    <t>Clicks</t>
  </si>
  <si>
    <t>Conversions</t>
  </si>
  <si>
    <t>Revenue ($)</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</si>
  <si>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</si>
  <si>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</si>
  <si>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</si>
  <si>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</si>
  <si>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</si>
  <si>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</si>
  <si>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</si>
  <si>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</si>
  <si>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</si>
  <si>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</si>
  <si>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</si>
  <si>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</si>
  <si>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</si>
  <si>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</si>
  <si>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</si>
  <si>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</si>
  <si>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</si>
  <si>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</si>
  <si>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</si>
  <si>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</si>
  <si>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</si>
  <si>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</si>
  <si>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</si>
  <si>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</si>
  <si>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</si>
  <si>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</si>
  <si>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</si>
  <si>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</si>
  <si>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</si>
  <si>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</si>
  <si>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</si>
  <si>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</si>
  <si>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</si>
  <si>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</si>
  <si>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</si>
  <si>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</si>
  <si>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</si>
  <si>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</si>
  <si>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</si>
  <si>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</si>
  <si>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</si>
  <si>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</si>
  <si>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</si>
  <si>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</si>
  <si>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</si>
  <si>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</si>
  <si>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</si>
  <si>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</si>
  <si>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</si>
  <si>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</si>
  <si>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</si>
  <si>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</si>
  <si>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</si>
  <si>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</si>
  <si>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</si>
  <si>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</si>
  <si>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</si>
  <si>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</si>
  <si>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</si>
  <si>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</si>
  <si>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</si>
  <si>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</si>
  <si>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</si>
  <si>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</si>
  <si>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</si>
  <si>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</si>
  <si>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</si>
  <si>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</si>
  <si>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</si>
  <si>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</si>
  <si>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</si>
  <si>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</si>
  <si>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</si>
  <si>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</si>
  <si>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</si>
  <si>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</si>
  <si>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</si>
  <si>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</si>
  <si>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</si>
  <si>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</si>
  <si>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</si>
  <si>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</si>
  <si>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</si>
  <si>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</si>
  <si>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</si>
  <si>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</si>
  <si>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</si>
  <si>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</si>
  <si>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</si>
  <si>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</si>
  <si>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</si>
  <si>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</si>
  <si>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</si>
  <si>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</si>
  <si>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</si>
  <si>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</si>
  <si>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</si>
  <si>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</si>
  <si>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</si>
  <si>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</si>
  <si>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</si>
  <si>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</si>
  <si>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</si>
  <si>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</si>
  <si>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</si>
  <si>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</si>
  <si>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</si>
  <si>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</si>
  <si>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</si>
  <si>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</si>
  <si>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</si>
  <si>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</si>
  <si>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</si>
  <si>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</si>
  <si>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</si>
  <si>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</si>
  <si>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</si>
  <si>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</si>
  <si>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</si>
  <si>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</si>
  <si>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</si>
  <si>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</si>
  <si>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</si>
  <si>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</si>
  <si>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</si>
  <si>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</si>
  <si>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</si>
  <si>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</si>
  <si>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</si>
  <si>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</si>
  <si>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</si>
  <si>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</si>
  <si>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</si>
  <si>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</si>
  <si>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</si>
  <si>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</si>
  <si>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</si>
  <si>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</si>
  <si>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</si>
  <si>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</si>
  <si>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</si>
  <si>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</si>
  <si>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</si>
  <si>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</si>
  <si>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</si>
  <si>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</si>
  <si>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</si>
  <si>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</si>
  <si>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</si>
  <si>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</si>
  <si>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</si>
  <si>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</si>
  <si>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</si>
  <si>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</si>
  <si>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</si>
  <si>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</si>
  <si>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</si>
  <si>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</si>
  <si>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</si>
  <si>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</si>
  <si>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</si>
  <si>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</si>
  <si>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</si>
  <si>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</si>
  <si>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</si>
  <si>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</si>
  <si>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</si>
  <si>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</si>
  <si>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</si>
  <si>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</si>
  <si>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</si>
  <si>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</si>
  <si>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</si>
  <si>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</si>
  <si>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</si>
  <si>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</si>
  <si>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</si>
  <si>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</si>
  <si>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</si>
  <si>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</si>
  <si>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</si>
  <si>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</si>
  <si>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</si>
  <si>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</si>
  <si>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</si>
  <si>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</si>
  <si>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</si>
  <si>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</si>
  <si>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</si>
  <si>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</si>
  <si>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</si>
  <si>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</si>
  <si>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</si>
  <si>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</si>
  <si>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</si>
  <si>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</si>
  <si>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</si>
  <si>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</si>
  <si>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</si>
  <si>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</si>
  <si>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</si>
  <si>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</si>
  <si>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</si>
  <si>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</si>
  <si>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</si>
  <si>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</si>
  <si>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</si>
  <si>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</si>
  <si>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</si>
  <si>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</si>
  <si>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</si>
  <si>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</si>
  <si>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</si>
  <si>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</si>
  <si>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</si>
  <si>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</si>
  <si>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</si>
  <si>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</si>
  <si>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</si>
  <si>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</si>
  <si>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</si>
  <si>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</si>
  <si>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</si>
  <si>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</si>
  <si>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</si>
  <si>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</si>
  <si>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</si>
  <si>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</si>
  <si>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</si>
  <si>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</si>
  <si>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</si>
  <si>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</si>
  <si>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</si>
  <si>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</si>
  <si>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</si>
  <si>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</si>
  <si>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</si>
  <si>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</si>
  <si>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</si>
  <si>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</si>
  <si>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</si>
  <si>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</si>
  <si>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</si>
  <si>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</si>
  <si>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</si>
  <si>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</si>
  <si>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</si>
  <si>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</si>
  <si>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</si>
  <si>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</si>
  <si>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</si>
  <si>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</si>
  <si>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</si>
  <si>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</si>
  <si>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</si>
  <si>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</si>
  <si>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</si>
  <si>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</si>
  <si>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</si>
  <si>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</si>
  <si>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</si>
  <si>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</si>
  <si>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</si>
  <si>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</si>
  <si>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</si>
  <si>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</si>
  <si>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</si>
  <si>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</si>
  <si>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</si>
  <si>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</si>
  <si>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</si>
  <si>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</si>
  <si>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</si>
  <si>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</si>
  <si>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</si>
  <si>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</si>
  <si>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</si>
  <si>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</si>
  <si>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</si>
  <si>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</si>
  <si>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</si>
  <si>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</si>
  <si>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</si>
  <si>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</si>
  <si>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</si>
  <si>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</si>
  <si>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</si>
  <si>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</si>
  <si>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</si>
  <si>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</si>
  <si>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</si>
  <si>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</si>
  <si>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</si>
  <si>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</si>
  <si>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</si>
  <si>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</si>
  <si>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</si>
  <si>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</si>
  <si>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</si>
  <si>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</si>
  <si>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</si>
  <si>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</si>
  <si>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</si>
  <si>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</si>
  <si>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</si>
  <si>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</si>
  <si>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</si>
  <si>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</si>
  <si>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</si>
  <si>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</si>
  <si>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</si>
  <si>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</si>
  <si>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</si>
  <si>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</si>
  <si>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</si>
  <si>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</si>
  <si>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</si>
  <si>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</si>
  <si>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</si>
  <si>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</si>
  <si>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</si>
  <si>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</si>
  <si>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</si>
  <si>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</si>
  <si>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</si>
  <si>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</si>
  <si>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</si>
  <si>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</si>
  <si>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</si>
  <si>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</si>
  <si>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</si>
  <si>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</si>
  <si>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</si>
  <si>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</si>
  <si>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</si>
  <si>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</si>
  <si>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</si>
  <si>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</si>
  <si>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</si>
  <si>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</si>
  <si>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</si>
  <si>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</si>
  <si>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</si>
  <si>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</si>
  <si>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</si>
  <si>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</si>
  <si>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</si>
  <si>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</si>
  <si>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</si>
  <si>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</si>
  <si>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</si>
  <si>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</si>
  <si>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</si>
  <si>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</si>
  <si>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</si>
  <si>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</si>
  <si>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</si>
  <si>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</si>
  <si>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</si>
  <si>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</si>
  <si>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</si>
  <si>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</si>
  <si>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</si>
  <si>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</si>
  <si>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</si>
  <si>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</si>
  <si>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</si>
  <si>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</si>
  <si>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</si>
  <si>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</si>
  <si>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</si>
  <si>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</si>
  <si>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</si>
  <si>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</si>
  <si>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</si>
  <si>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</si>
  <si>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</si>
  <si>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</si>
  <si>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</si>
  <si>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</si>
  <si>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</si>
  <si>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</si>
  <si>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</si>
  <si>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</si>
  <si>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</si>
  <si>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</si>
  <si>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</si>
  <si>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</si>
  <si>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</si>
  <si>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</si>
  <si>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</si>
  <si>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</si>
  <si>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</si>
  <si>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</si>
  <si>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</si>
  <si>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</si>
  <si>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</si>
  <si>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</si>
  <si>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</si>
  <si>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</si>
  <si>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</si>
  <si>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</si>
  <si>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</si>
  <si>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</si>
  <si>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</si>
  <si>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</si>
  <si>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</si>
  <si>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</si>
  <si>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</si>
  <si>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</si>
  <si>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</si>
  <si>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</si>
  <si>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</si>
  <si>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</si>
  <si>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</si>
  <si>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</si>
  <si>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</si>
  <si>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</si>
  <si>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</si>
  <si>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</si>
  <si>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</si>
  <si>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</si>
  <si>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</si>
  <si>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</si>
  <si>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</si>
  <si>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</si>
  <si>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</si>
  <si>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</si>
  <si>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</si>
  <si>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</si>
  <si>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</si>
  <si>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</si>
  <si>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</si>
  <si>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</si>
  <si>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</si>
  <si>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</si>
  <si>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</si>
  <si>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</si>
  <si>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</si>
  <si>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</si>
  <si>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</si>
  <si>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</si>
  <si>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</si>
  <si>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</si>
  <si>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</si>
  <si>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</si>
  <si>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</si>
  <si>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</si>
  <si>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</si>
  <si>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</si>
  <si>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</si>
  <si>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</si>
  <si>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</si>
  <si>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</si>
  <si>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</si>
  <si>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</si>
  <si>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</si>
  <si>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</si>
  <si>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</si>
  <si>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</si>
  <si>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</si>
  <si>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</si>
  <si>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</si>
  <si>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</si>
  <si>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</si>
  <si>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</si>
  <si>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</si>
  <si>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</si>
  <si>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</si>
  <si>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</si>
  <si>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</si>
  <si>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</si>
  <si>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</si>
  <si>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</si>
  <si>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</si>
  <si>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</si>
  <si>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</si>
  <si>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</si>
  <si>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</si>
  <si>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</si>
  <si>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</si>
  <si>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</si>
  <si>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</si>
  <si>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</si>
  <si>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</si>
  <si>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</si>
  <si>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</si>
  <si>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</si>
  <si>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</si>
  <si>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</si>
  <si>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</si>
  <si>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</si>
  <si>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</si>
  <si>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</si>
  <si>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</si>
  <si>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</si>
  <si>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</si>
  <si>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</si>
  <si>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</si>
  <si>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</si>
  <si>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Google Ads</t>
  </si>
  <si>
    <t>Facebook</t>
  </si>
  <si>
    <t>Twitter</t>
  </si>
  <si>
    <t>LinkedIn</t>
  </si>
  <si>
    <t>Instagram</t>
  </si>
  <si>
    <t>East</t>
  </si>
  <si>
    <t>South</t>
  </si>
  <si>
    <t>North</t>
  </si>
  <si>
    <t>West</t>
  </si>
  <si>
    <t>CTR</t>
  </si>
  <si>
    <t>CPC</t>
  </si>
  <si>
    <t>CPA</t>
  </si>
  <si>
    <t>ROAS</t>
  </si>
  <si>
    <t>Profit</t>
  </si>
  <si>
    <t>Profit Margin %</t>
  </si>
  <si>
    <t>Year</t>
  </si>
  <si>
    <t>Month</t>
  </si>
  <si>
    <t>Row Labels</t>
  </si>
  <si>
    <t>Grand Total</t>
  </si>
  <si>
    <t>Sum of Budget ($)</t>
  </si>
  <si>
    <t>Sum of Revenue ($)</t>
  </si>
  <si>
    <t>Average of Revenue ($)</t>
  </si>
  <si>
    <t>Sum of Profit</t>
  </si>
  <si>
    <t>Marketing Campaign Performance Dashboard</t>
  </si>
  <si>
    <t>Average of Profit</t>
  </si>
  <si>
    <t>Sum of ROAS</t>
  </si>
  <si>
    <t>Sum of Conversions</t>
  </si>
  <si>
    <t>Sum of Spend ($)</t>
  </si>
  <si>
    <t>Conversion_Rate</t>
  </si>
  <si>
    <t xml:space="preserve">Stage          </t>
  </si>
  <si>
    <t>Value</t>
  </si>
  <si>
    <t xml:space="preserve">Impressions    </t>
  </si>
  <si>
    <t xml:space="preserve">Clicks         </t>
  </si>
  <si>
    <t xml:space="preserve">Conversions    </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</si>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</sst>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b/>
      <sz val="24"/>
      <color theme="6" tint="-0.499984740745262"/>
      <name val="Calibri"/>
      <family val="2"/>
      <scheme val="minor"/>
    </font>
  </fonts>
  <fills count="3">
    <fill>
      <patternFill patternType="none"/>
    </fill>
    <fill>
      <patternFill patternType="gray125"/>
    </fill>
    <fill>
      <patternFill patternType="solid">
        <fgColor theme="6"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[Marketing_Campaign_Data_Cleaned.xlsx]Pivot table!PivotTable8</c:name>
    <c:fmtId val="3"/>
  </c:pivotSource>
  <c:chart>
    <c:title>
      <c:tx>
        <c:rich>
          <a:bodyPr rot="0" spcFirstLastPara="1" vertOverflow="ellipsis" vert="horz" wrap="square" anchor="ctr" anchorCtr="1"/>
          <a:lstStyle/>
          <a:p>
            <a:pPr>
              <a:defRPr sz="1800" b="1" i="0" u="none" strike="noStrike" kern="1200" baseline="0">
                <a:solidFill>
                  <a:schemeClr val="accent3"/>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3"/>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34973753280841"/>
          <c:y val="0.28643299795858851"/>
          <c:w val="0.58931692913385825"/>
          <c:h val="0.6293157626130067"/>
        </c:manualLayout>
      </c:layout>
      <c:barChart>
        <c:barDir val="bar"/>
        <c:grouping val="clustered"/>
        <c:varyColors val="0"/>
        <c:ser>
          <c:idx val="0"/>
          <c:order val="0"/>
          <c:tx>
            <c:strRef>
              <c:f>'Pivot table'!$K$2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table'!$J$3:$J$4</c:f>
              <c:strCache>
                <c:ptCount val="1"/>
                <c:pt idx="0">
                  <c:v>North</c:v>
                </c:pt>
              </c:strCache>
            </c:strRef>
          </c:cat>
          <c:val>
            <c:numRef>
              <c:f>'Pivot table'!$K$3:$K$4</c:f>
              <c:numCache>
                <c:formatCode>General</c:formatCode>
                <c:ptCount val="1"/>
                <c:pt idx="0">
                  <c:v>25894</c:v>
                </c:pt>
              </c:numCache>
            </c:numRef>
          </c:val>
          <c:extLst>
            <c:ext xmlns:c16="http://schemas.microsoft.com/office/drawing/2014/chart" uri="{C3380CC4-5D6E-409C-BE32-E72D297353CC}">
              <c16:uniqueId val="{00000002-AB05-44E0-B9D4-A5855C98424F}"/>
            </c:ext>
          </c:extLst>
        </c:ser>
        <c:dLbls>
          <c:dLblPos val="inEnd"/>
          <c:showLegendKey val="0"/>
          <c:showVal val="1"/>
          <c:showCatName val="0"/>
          <c:showSerName val="0"/>
          <c:showPercent val="0"/>
          <c:showBubbleSize val="0"/>
        </c:dLbls>
        <c:gapWidth val="65"/>
        <c:axId val="1451979551"/>
        <c:axId val="1451978111"/>
      </c:barChart>
      <c:catAx>
        <c:axId val="14519795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3"/>
                </a:solidFill>
                <a:latin typeface="+mn-lt"/>
                <a:ea typeface="+mn-ea"/>
                <a:cs typeface="+mn-cs"/>
              </a:defRPr>
            </a:pPr>
            <a:endParaRPr lang="en-US"/>
          </a:p>
        </c:txPr>
        <c:crossAx val="1451978111"/>
        <c:crosses val="autoZero"/>
        <c:auto val="1"/>
        <c:lblAlgn val="ctr"/>
        <c:lblOffset val="100"/>
        <c:noMultiLvlLbl val="0"/>
      </c:catAx>
      <c:valAx>
        <c:axId val="14519781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4519795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legend>
    <c:plotVisOnly val="1"/>
    <c:dispBlanksAs val="gap"/>
    <c:showDLblsOverMax val="0"/>
    <c:extLst/>
  </c:chart>
  <c:spPr>
    <a:noFill/>
    <a:ln w="9525" cap="flat" cmpd="sng" algn="ctr">
      <a:solidFill>
        <a:schemeClr val="accent3"/>
      </a:solidFill>
      <a:prstDash val="solid"/>
      <a:round/>
      <a:headEnd type="none" w="med" len="med"/>
      <a:tailEnd type="none" w="med" len="med"/>
    </a:ln>
    <a:effectLst>
      <a:outerShdw blurRad="50800" dist="38100" dir="2700000" algn="tl" rotWithShape="0">
        <a:prstClr val="black">
          <a:alpha val="40000"/>
        </a:prstClr>
      </a:outerShdw>
    </a:effectLst>
  </c:spPr>
  <c:txPr>
    <a:bodyPr/>
    <a:lstStyle/>
    <a:p>
      <a:pPr>
        <a:defRPr>
          <a:solidFill>
            <a:schemeClr val="accent3"/>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[Marketing_Campaign_Data_Cleaned.xlsx]Pivot table!PivotTable7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table'!$H$10</c:f>
              <c:strCache>
                <c:ptCount val="1"/>
                <c:pt idx="0">
                  <c:v>Total</c:v>
                </c:pt>
              </c:strCache>
            </c:strRef>
          </c:tx>
          <c:spPr>
            <a:solidFill>
              <a:schemeClr val="accent1"/>
            </a:solidFill>
            <a:ln>
              <a:noFill/>
            </a:ln>
            <a:effectLst/>
          </c:spPr>
          <c:invertIfNegative val="0"/>
          <c:cat>
            <c:strRef>
              <c:f>'Pivot table'!$G$11:$G$14</c:f>
              <c:strCache>
                <c:ptCount val="3"/>
                <c:pt idx="0">
                  <c:v>Facebook</c:v>
                </c:pt>
                <c:pt idx="1">
                  <c:v>Instagram</c:v>
                </c:pt>
                <c:pt idx="2">
                  <c:v>Twitter</c:v>
                </c:pt>
              </c:strCache>
            </c:strRef>
          </c:cat>
          <c:val>
            <c:numRef>
              <c:f>'Pivot table'!$H$11:$H$14</c:f>
              <c:numCache>
                <c:formatCode>General</c:formatCode>
                <c:ptCount val="3"/>
                <c:pt idx="0">
                  <c:v>65.787772467292825</c:v>
                </c:pt>
                <c:pt idx="1">
                  <c:v>51.304579850834998</c:v>
                </c:pt>
                <c:pt idx="2">
                  <c:v>47.551735761319215</c:v>
                </c:pt>
              </c:numCache>
            </c:numRef>
          </c:val>
          <c:extLst>
            <c:ext xmlns:c16="http://schemas.microsoft.com/office/drawing/2014/chart" uri="{C3380CC4-5D6E-409C-BE32-E72D297353CC}">
              <c16:uniqueId val="{00000000-9C3D-47ED-BC83-645354C38CD9}"/>
            </c:ext>
          </c:extLst>
        </c:ser>
        <c:dLbls>
          <c:showLegendKey val="0"/>
          <c:showVal val="0"/>
          <c:showCatName val="0"/>
          <c:showSerName val="0"/>
          <c:showPercent val="0"/>
          <c:showBubbleSize val="0"/>
        </c:dLbls>
        <c:gapWidth val="182"/>
        <c:axId val="1452008351"/>
        <c:axId val="1452001151"/>
      </c:barChart>
      <c:catAx>
        <c:axId val="145200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452001151"/>
        <c:crosses val="autoZero"/>
        <c:auto val="1"/>
        <c:lblAlgn val="ctr"/>
        <c:lblOffset val="100"/>
        <c:noMultiLvlLbl val="0"/>
      </c:catAx>
      <c:valAx>
        <c:axId val="1452001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45200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3"/>
      </a:solidFill>
      <a:prstDash val="solid"/>
      <a:round/>
      <a:headEnd type="none" w="med" len="med"/>
      <a:tailEnd type="none" w="med" len="med"/>
    </a:ln>
    <a:effectLst>
      <a:outerShdw blurRad="50800" dist="38100" dir="2700000" algn="tl" rotWithShape="0">
        <a:prstClr val="black">
          <a:alpha val="40000"/>
        </a:prstClr>
      </a:outerShdw>
    </a:effectLst>
  </c:spPr>
  <c:txPr>
    <a:bodyPr/>
    <a:lstStyle/>
    <a:p>
      <a:pPr>
        <a:defRPr>
          <a:solidFill>
            <a:schemeClr val="accent3"/>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[Marketing_Campaign_Data_Cleaned.xlsx]Pivot table!PivotTable10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table'!$D$20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09-4B6B-BA59-56929E09C7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09-4B6B-BA59-56929E09C7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09-4B6B-BA59-56929E09C7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09-4B6B-BA59-56929E09C7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09-4B6B-BA59-56929E09C74D}"/>
              </c:ext>
            </c:extLst>
          </c:dPt>
          <c:cat>
            <c:strRef>
              <c:f>'Pivot table'!$C$21:$C$24</c:f>
              <c:strCache>
                <c:ptCount val="3"/>
                <c:pt idx="0">
                  <c:v>Facebook</c:v>
                </c:pt>
                <c:pt idx="1">
                  <c:v>Instagram</c:v>
                </c:pt>
                <c:pt idx="2">
                  <c:v>Twitter</c:v>
                </c:pt>
              </c:strCache>
            </c:strRef>
          </c:cat>
          <c:val>
            <c:numRef>
              <c:f>'Pivot table'!$D$21:$D$24</c:f>
              <c:numCache>
                <c:formatCode>General</c:formatCode>
                <c:ptCount val="3"/>
                <c:pt idx="0">
                  <c:v>136041.13</c:v>
                </c:pt>
                <c:pt idx="1">
                  <c:v>152922.28999999998</c:v>
                </c:pt>
                <c:pt idx="2">
                  <c:v>177756.56</c:v>
                </c:pt>
              </c:numCache>
            </c:numRef>
          </c:val>
          <c:extLst>
            <c:ext xmlns:c16="http://schemas.microsoft.com/office/drawing/2014/chart" uri="{C3380CC4-5D6E-409C-BE32-E72D297353CC}">
              <c16:uniqueId val="{0000000A-6809-4B6B-BA59-56929E09C7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3"/>
      </a:solidFill>
      <a:prstDash val="solid"/>
      <a:round/>
      <a:headEnd type="none" w="med" len="med"/>
      <a:tailEnd type="none" w="med" len="med"/>
    </a:ln>
    <a:effectLst>
      <a:outerShdw blurRad="50800" dist="38100" dir="2700000" algn="tl" rotWithShape="0">
        <a:prstClr val="black">
          <a:alpha val="40000"/>
        </a:prstClr>
      </a:outerShdw>
    </a:effectLst>
  </c:spPr>
  <c:txPr>
    <a:bodyPr/>
    <a:lstStyle/>
    <a:p>
      <a:pPr>
        <a:defRPr>
          <a:solidFill>
            <a:schemeClr val="accent3"/>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[Marketing_Campaign_Data_Cleaned.xlsx]Pivot table!PivotTable4</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table'!$E$9</c:f>
              <c:strCache>
                <c:ptCount val="1"/>
                <c:pt idx="0">
                  <c:v>Sum of Spend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table'!$D$10:$D$11</c:f>
              <c:strCache>
                <c:ptCount val="1"/>
                <c:pt idx="0">
                  <c:v>2025</c:v>
                </c:pt>
              </c:strCache>
            </c:strRef>
          </c:cat>
          <c:val>
            <c:numRef>
              <c:f>'Pivot table'!$E$10:$E$11</c:f>
              <c:numCache>
                <c:formatCode>General</c:formatCode>
                <c:ptCount val="1"/>
                <c:pt idx="0">
                  <c:v>436388.00999999995</c:v>
                </c:pt>
              </c:numCache>
            </c:numRef>
          </c:val>
          <c:smooth val="0"/>
          <c:extLst>
            <c:ext xmlns:c16="http://schemas.microsoft.com/office/drawing/2014/chart" uri="{C3380CC4-5D6E-409C-BE32-E72D297353CC}">
              <c16:uniqueId val="{00000000-A50B-441F-9D2E-4E328B5F1E7B}"/>
            </c:ext>
          </c:extLst>
        </c:ser>
        <c:ser>
          <c:idx val="1"/>
          <c:order val="1"/>
          <c:tx>
            <c:strRef>
              <c:f>'Pivot table'!$F$9</c:f>
              <c:strCache>
                <c:ptCount val="1"/>
                <c:pt idx="0">
                  <c:v>Sum of Revenue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table'!$D$10:$D$11</c:f>
              <c:strCache>
                <c:ptCount val="1"/>
                <c:pt idx="0">
                  <c:v>2025</c:v>
                </c:pt>
              </c:strCache>
            </c:strRef>
          </c:cat>
          <c:val>
            <c:numRef>
              <c:f>'Pivot table'!$F$10:$F$11</c:f>
              <c:numCache>
                <c:formatCode>General</c:formatCode>
                <c:ptCount val="1"/>
                <c:pt idx="0">
                  <c:v>962187.33</c:v>
                </c:pt>
              </c:numCache>
            </c:numRef>
          </c:val>
          <c:smooth val="0"/>
          <c:extLst>
            <c:ext xmlns:c16="http://schemas.microsoft.com/office/drawing/2014/chart" uri="{C3380CC4-5D6E-409C-BE32-E72D297353CC}">
              <c16:uniqueId val="{00000001-A50B-441F-9D2E-4E328B5F1E7B}"/>
            </c:ext>
          </c:extLst>
        </c:ser>
        <c:dLbls>
          <c:showLegendKey val="0"/>
          <c:showVal val="0"/>
          <c:showCatName val="0"/>
          <c:showSerName val="0"/>
          <c:showPercent val="0"/>
          <c:showBubbleSize val="0"/>
        </c:dLbls>
        <c:marker val="1"/>
        <c:smooth val="0"/>
        <c:axId val="831699103"/>
        <c:axId val="831699583"/>
      </c:lineChart>
      <c:catAx>
        <c:axId val="83169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831699583"/>
        <c:crosses val="autoZero"/>
        <c:auto val="1"/>
        <c:lblAlgn val="ctr"/>
        <c:lblOffset val="100"/>
        <c:noMultiLvlLbl val="0"/>
      </c:catAx>
      <c:valAx>
        <c:axId val="83169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831699103"/>
        <c:crosses val="autoZero"/>
        <c:crossBetween val="between"/>
      </c:valAx>
      <c:spPr>
        <a:noFill/>
        <a:ln w="9525" cap="flat" cmpd="sng" algn="ctr">
          <a:solidFill>
            <a:schemeClr val="accent3"/>
          </a:solidFill>
          <a:prstDash val="solid"/>
          <a:round/>
          <a:headEnd type="none" w="med" len="med"/>
          <a:tailEnd type="none" w="med" len="med"/>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3"/>
      </a:solidFill>
      <a:prstDash val="solid"/>
      <a:round/>
      <a:headEnd type="none" w="med" len="med"/>
      <a:tailEnd type="none" w="med" len="med"/>
    </a:ln>
    <a:effectLst>
      <a:outerShdw blurRad="50800" dist="38100" dir="5400000" algn="t" rotWithShape="0">
        <a:prstClr val="black">
          <a:alpha val="40000"/>
        </a:prstClr>
      </a:outerShdw>
    </a:effectLst>
  </c:spPr>
  <c:txPr>
    <a:bodyPr/>
    <a:lstStyle/>
    <a:p>
      <a:pPr>
        <a:defRPr>
          <a:solidFill>
            <a:schemeClr val="accent3"/>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Chart Title</cx:v>
        </cx:txData>
      </cx:tx>
      <cx:txPr>
        <a:bodyPr vertOverflow="overflow" horzOverflow="overflow" wrap="square" lIns="0" tIns="0" rIns="0" bIns="0"/>
        <a:lstStyle/>
        <a:p>
          <a:pPr algn="ctr" rtl="0">
            <a:defRPr sz="1400" b="0" i="0">
              <a:ln>
                <a:solidFill>
                  <a:schemeClr val="accent3"/>
                </a:solidFill>
              </a:ln>
              <a:solidFill>
                <a:srgbClr val="595959"/>
              </a:solidFill>
              <a:latin typeface="Calibri" panose="020F0502020204030204" pitchFamily="34" charset="0"/>
              <a:ea typeface="Calibri" panose="020F0502020204030204" pitchFamily="34" charset="0"/>
              <a:cs typeface="Calibri" panose="020F0502020204030204" pitchFamily="34" charset="0"/>
            </a:defRPr>
          </a:pPr>
          <a:r>
            <a:rPr lang="en-US">
              <a:ln>
                <a:solidFill>
                  <a:schemeClr val="accent3"/>
                </a:solidFill>
              </a:ln>
            </a:rPr>
            <a:t>Chart Title</a:t>
          </a:r>
        </a:p>
      </cx:txPr>
    </cx:title>
    <cx:plotArea>
      <cx:plotAreaRegion>
        <cx:plotSurface>
          <cx:spPr>
            <a:noFill/>
            <a:ln>
              <a:noFill/>
            </a:ln>
            <a:effectLst>
              <a:outerShdw blurRad="50800" dist="38100" dir="5400000" algn="t" rotWithShape="0">
                <a:prstClr val="black">
                  <a:alpha val="40000"/>
                </a:prstClr>
              </a:outerShdw>
            </a:effectLst>
          </cx:spPr>
        </cx:plotSurface>
        <cx:series layoutId="funnel" uniqueId="{7636CAFC-8F82-49C5-BCD0-659EBD38DD38}">
          <cx:tx>
            <cx:txData>
              <cx:f>_xlchart.v2.1</cx:f>
              <cx:v>Value</cx:v>
            </cx:txData>
          </cx:tx>
          <cx:dataLabels>
            <cx:txPr>
              <a:bodyPr vertOverflow="overflow" horzOverflow="overflow" wrap="square" lIns="0" tIns="0" rIns="0" bIns="0"/>
              <a:lstStyle/>
              <a:p>
                <a:pPr algn="ctr" rtl="0">
                  <a:defRPr sz="900" b="0" i="0">
                    <a:ln>
                      <a:solidFill>
                        <a:schemeClr val="accent3"/>
                      </a:solidFill>
                    </a:ln>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a:ln>
                    <a:solidFill>
                      <a:schemeClr val="accent3"/>
                    </a:solidFill>
                  </a:ln>
                </a:endParaRPr>
              </a:p>
            </cx:txPr>
            <cx:visibility seriesName="0" categoryName="0" value="1"/>
          </cx:dataLabels>
          <cx:dataId val="0"/>
        </cx:series>
      </cx:plotAreaRegion>
      <cx:axis id="0">
        <cx:catScaling gapWidth="0.100000001"/>
        <cx:title>
          <cx:tx>
            <cx:txData>
              <cx:v>Axis Title</cx:v>
            </cx:txData>
          </cx:tx>
          <cx:txPr>
            <a:bodyPr vertOverflow="overflow" horzOverflow="overflow" wrap="square" lIns="0" tIns="0" rIns="0" bIns="0"/>
            <a:lstStyle/>
            <a:p>
              <a:pPr algn="ctr" rtl="0">
                <a:defRPr sz="900" b="0" i="0">
                  <a:ln>
                    <a:solidFill>
                      <a:schemeClr val="accent3"/>
                    </a:solidFill>
                  </a:ln>
                  <a:solidFill>
                    <a:srgbClr val="595959"/>
                  </a:solidFill>
                  <a:latin typeface="Calibri" panose="020F0502020204030204" pitchFamily="34" charset="0"/>
                  <a:ea typeface="Calibri" panose="020F0502020204030204" pitchFamily="34" charset="0"/>
                  <a:cs typeface="Calibri" panose="020F0502020204030204" pitchFamily="34" charset="0"/>
                </a:defRPr>
              </a:pPr>
              <a:r>
                <a:rPr lang="en-US">
                  <a:ln>
                    <a:solidFill>
                      <a:schemeClr val="accent3"/>
                    </a:solidFill>
                  </a:ln>
                </a:rPr>
                <a:t>Axis Title</a:t>
              </a:r>
            </a:p>
          </cx:txPr>
        </cx:title>
        <cx:tickLabels/>
        <cx:txPr>
          <a:bodyPr vertOverflow="overflow" horzOverflow="overflow" wrap="square" lIns="0" tIns="0" rIns="0" bIns="0"/>
          <a:lstStyle/>
          <a:p>
            <a:pPr algn="ctr" rtl="0">
              <a:defRPr sz="900" b="0" i="0">
                <a:ln>
                  <a:solidFill>
                    <a:schemeClr val="accent3"/>
                  </a:solidFill>
                </a:ln>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a:ln>
                <a:solidFill>
                  <a:schemeClr val="accent3"/>
                </a:solidFill>
              </a:ln>
            </a:endParaRPr>
          </a:p>
        </cx:txPr>
      </cx:axis>
    </cx:plotArea>
    <cx:legend pos="t" align="ctr" overlay="0">
      <cx:txPr>
        <a:bodyPr vertOverflow="overflow" horzOverflow="overflow" wrap="square" lIns="0" tIns="0" rIns="0" bIns="0"/>
        <a:lstStyle/>
        <a:p>
          <a:pPr algn="ctr" rtl="0">
            <a:defRPr sz="900" b="0" i="0">
              <a:ln>
                <a:solidFill>
                  <a:schemeClr val="accent3"/>
                </a:solidFill>
              </a:ln>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a:ln>
              <a:solidFill>
                <a:schemeClr val="accent3"/>
              </a:solidFill>
            </a:ln>
          </a:endParaRPr>
        </a:p>
      </cx:txPr>
    </cx:legend>
  </cx:chart>
  <cx:spPr>
    <a:noFill/>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20</xdr:col>
      <xdr:colOff>102520</xdr:colOff>
      <xdr:row>2</xdr:row>
      <xdr:rowOff>163881</xdr:rowOff>
    </xdr:from>
    <xdr:to>
      <xdr:col>27</xdr:col>
      <xdr:colOff>323500</xdr:colOff>
      <xdr:row>22</xdr:row>
      <xdr:rowOff>68365</xdr:rowOff>
    </xdr:to>
    <xdr:graphicFrame macro="">
      <xdr:nvGraphicFramePr>
        <xdr:cNvPr id="2" name="Chart 1">
          <a:extLst>
            <a:ext uri="{FF2B5EF4-FFF2-40B4-BE49-F238E27FC236}">
              <a16:creationId xmlns:a16="http://schemas.microsoft.com/office/drawing/2014/main" id="{520DD9ED-0E1C-4723-A76E-0BB8E7FD4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546635</xdr:colOff>
      <xdr:row>3</xdr:row>
      <xdr:rowOff>1203</xdr:rowOff>
    </xdr:from>
    <xdr:to>
      <xdr:col>19</xdr:col>
      <xdr:colOff>592355</xdr:colOff>
      <xdr:row>22</xdr:row>
      <xdr:rowOff>48126</xdr:rowOff>
    </xdr:to>
    <xdr:graphicFrame macro="">
      <xdr:nvGraphicFramePr>
        <xdr:cNvPr id="4" name="Chart 3">
          <a:extLst>
            <a:ext uri="{FF2B5EF4-FFF2-40B4-BE49-F238E27FC236}">
              <a16:creationId xmlns:a16="http://schemas.microsoft.com/office/drawing/2014/main" id="{A2B304D6-6173-4496-93FF-1C3080671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336539</xdr:colOff>
      <xdr:row>23</xdr:row>
      <xdr:rowOff>81643</xdr:rowOff>
    </xdr:from>
    <xdr:to>
      <xdr:col>13</xdr:col>
      <xdr:colOff>264695</xdr:colOff>
      <xdr:row>47</xdr:row>
      <xdr:rowOff>120316</xdr:rowOff>
    </xdr:to>
    <xdr:graphicFrame macro="">
      <xdr:nvGraphicFramePr>
        <xdr:cNvPr id="5" name="Chart 4">
          <a:extLst>
            <a:ext uri="{FF2B5EF4-FFF2-40B4-BE49-F238E27FC236}">
              <a16:creationId xmlns:a16="http://schemas.microsoft.com/office/drawing/2014/main" id="{8068584D-9B71-4EA2-BC42-AA12E53A4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383453</xdr:colOff>
      <xdr:row>23</xdr:row>
      <xdr:rowOff>158995</xdr:rowOff>
    </xdr:from>
    <xdr:to>
      <xdr:col>26</xdr:col>
      <xdr:colOff>601578</xdr:colOff>
      <xdr:row>47</xdr:row>
      <xdr:rowOff>96254</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F1D28234-0625-45A9-8A91-89140B8442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527453" y="4610679"/>
              <a:ext cx="6923725" cy="43648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28</xdr:col>
      <xdr:colOff>30060</xdr:colOff>
      <xdr:row>8</xdr:row>
      <xdr:rowOff>175045</xdr:rowOff>
    </xdr:from>
    <xdr:to>
      <xdr:col>31</xdr:col>
      <xdr:colOff>30061</xdr:colOff>
      <xdr:row>16</xdr:row>
      <xdr:rowOff>103807</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48110990-C2A2-4AC2-B468-4CFAE892B13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7262983" y="1801622"/>
              <a:ext cx="1846386" cy="1335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28597</xdr:colOff>
      <xdr:row>16</xdr:row>
      <xdr:rowOff>146431</xdr:rowOff>
    </xdr:from>
    <xdr:to>
      <xdr:col>31</xdr:col>
      <xdr:colOff>28597</xdr:colOff>
      <xdr:row>27</xdr:row>
      <xdr:rowOff>96252</xdr:rowOff>
    </xdr:to>
    <mc:AlternateContent xmlns:mc="http://schemas.openxmlformats.org/markup-compatibility/2006">
      <mc:Choice xmlns:a14="http://schemas.microsoft.com/office/drawing/2010/main" Requires="a14">
        <xdr:graphicFrame macro="">
          <xdr:nvGraphicFramePr>
            <xdr:cNvPr id="10" name="Channel 1">
              <a:extLst>
                <a:ext uri="{FF2B5EF4-FFF2-40B4-BE49-F238E27FC236}">
                  <a16:creationId xmlns:a16="http://schemas.microsoft.com/office/drawing/2014/main" id="{A3391240-1839-4EA4-8AB6-73F638354131}"/>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7261520" y="3179777"/>
              <a:ext cx="1846385" cy="1884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28887</xdr:colOff>
      <xdr:row>2</xdr:row>
      <xdr:rowOff>177208</xdr:rowOff>
    </xdr:from>
    <xdr:to>
      <xdr:col>31</xdr:col>
      <xdr:colOff>23571</xdr:colOff>
      <xdr:row>8</xdr:row>
      <xdr:rowOff>132907</xdr:rowOff>
    </xdr:to>
    <mc:AlternateContent xmlns:mc="http://schemas.openxmlformats.org/markup-compatibility/2006">
      <mc:Choice xmlns:a14="http://schemas.microsoft.com/office/drawing/2010/main" Requires="a14">
        <xdr:graphicFrame macro="">
          <xdr:nvGraphicFramePr>
            <xdr:cNvPr id="13" name="Year 1">
              <a:extLst>
                <a:ext uri="{FF2B5EF4-FFF2-40B4-BE49-F238E27FC236}">
                  <a16:creationId xmlns:a16="http://schemas.microsoft.com/office/drawing/2014/main" id="{46850933-F941-4189-81E7-174ED175FB0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7261810" y="748708"/>
              <a:ext cx="1841069" cy="101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385012</xdr:colOff>
      <xdr:row>3</xdr:row>
      <xdr:rowOff>7364</xdr:rowOff>
    </xdr:from>
    <xdr:to>
      <xdr:col>11</xdr:col>
      <xdr:colOff>382154</xdr:colOff>
      <xdr:row>22</xdr:row>
      <xdr:rowOff>64168</xdr:rowOff>
    </xdr:to>
    <xdr:graphicFrame macro="">
      <xdr:nvGraphicFramePr>
        <xdr:cNvPr id="14" name="Chart 13">
          <a:extLst>
            <a:ext uri="{FF2B5EF4-FFF2-40B4-BE49-F238E27FC236}">
              <a16:creationId xmlns:a16="http://schemas.microsoft.com/office/drawing/2014/main" id="{3B8A0676-21B9-42DF-A20E-94A2DDFD0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0.644614699071" createdVersion="8" refreshedVersion="8" minRefreshableVersion="3" recordCount="500" xr:uid="{D15CE94E-C88A-450A-998D-1A522E057C79}">
  <cacheSource type="worksheet">
    <worksheetSource ref="A1:R501" sheet="Marketing Campaign data"/>
  </cacheSource>
  <cacheFields count="21">
    <cacheField name="Campaign_ID" numFmtId="0">
      <sharedItems/>
    </cacheField>
    <cacheField name="Date" numFmtId="164">
      <sharedItems containsSemiMixedTypes="0" containsNonDate="0" containsDate="1" containsString="0" minDate="2024-12-10T00:00:00" maxDate="2025-06-11T00:00:00" count="173">
        <d v="2025-05-03T00:00:00"/>
        <d v="2025-01-17T00:00:00"/>
        <d v="2025-04-04T00:00:00"/>
        <d v="2025-05-30T00:00:00"/>
        <d v="2025-05-14T00:00:00"/>
        <d v="2025-04-17T00:00:00"/>
        <d v="2025-03-30T00:00:00"/>
        <d v="2025-04-09T00:00:00"/>
        <d v="2025-02-02T00:00:00"/>
        <d v="2025-03-28T00:00:00"/>
        <d v="2025-04-07T00:00:00"/>
        <d v="2025-05-28T00:00:00"/>
        <d v="2025-01-15T00:00:00"/>
        <d v="2024-12-20T00:00:00"/>
        <d v="2025-02-03T00:00:00"/>
        <d v="2025-03-09T00:00:00"/>
        <d v="2025-05-26T00:00:00"/>
        <d v="2025-01-12T00:00:00"/>
        <d v="2025-06-06T00:00:00"/>
        <d v="2025-05-07T00:00:00"/>
        <d v="2025-06-02T00:00:00"/>
        <d v="2025-04-19T00:00:00"/>
        <d v="2025-02-15T00:00:00"/>
        <d v="2025-04-06T00:00:00"/>
        <d v="2025-03-05T00:00:00"/>
        <d v="2025-06-01T00:00:00"/>
        <d v="2025-01-22T00:00:00"/>
        <d v="2025-04-21T00:00:00"/>
        <d v="2025-05-25T00:00:00"/>
        <d v="2025-02-23T00:00:00"/>
        <d v="2024-12-27T00:00:00"/>
        <d v="2025-04-08T00:00:00"/>
        <d v="2025-02-13T00:00:00"/>
        <d v="2025-04-12T00:00:00"/>
        <d v="2025-03-06T00:00:00"/>
        <d v="2025-04-01T00:00:00"/>
        <d v="2025-01-14T00:00:00"/>
        <d v="2024-12-16T00:00:00"/>
        <d v="2025-04-16T00:00:00"/>
        <d v="2025-05-08T00:00:00"/>
        <d v="2025-05-20T00:00:00"/>
        <d v="2025-01-05T00:00:00"/>
        <d v="2025-03-10T00:00:00"/>
        <d v="2025-02-05T00:00:00"/>
        <d v="2025-05-29T00:00:00"/>
        <d v="2025-03-11T00:00:00"/>
        <d v="2025-01-10T00:00:00"/>
        <d v="2025-01-25T00:00:00"/>
        <d v="2025-01-27T00:00:00"/>
        <d v="2025-02-16T00:00:00"/>
        <d v="2025-04-25T00:00:00"/>
        <d v="2025-04-22T00:00:00"/>
        <d v="2025-03-31T00:00:00"/>
        <d v="2024-12-19T00:00:00"/>
        <d v="2025-02-22T00:00:00"/>
        <d v="2025-03-01T00:00:00"/>
        <d v="2025-03-18T00:00:00"/>
        <d v="2024-12-28T00:00:00"/>
        <d v="2025-04-10T00:00:00"/>
        <d v="2025-01-30T00:00:00"/>
        <d v="2025-02-10T00:00:00"/>
        <d v="2025-03-08T00:00:00"/>
        <d v="2025-02-24T00:00:00"/>
        <d v="2025-06-10T00:00:00"/>
        <d v="2024-12-10T00:00:00"/>
        <d v="2025-02-25T00:00:00"/>
        <d v="2025-03-15T00:00:00"/>
        <d v="2025-02-18T00:00:00"/>
        <d v="2024-12-13T00:00:00"/>
        <d v="2025-05-24T00:00:00"/>
        <d v="2025-04-20T00:00:00"/>
        <d v="2025-05-02T00:00:00"/>
        <d v="2025-06-05T00:00:00"/>
        <d v="2025-03-26T00:00:00"/>
        <d v="2025-01-11T00:00:00"/>
        <d v="2025-03-04T00:00:00"/>
        <d v="2025-02-21T00:00:00"/>
        <d v="2025-04-05T00:00:00"/>
        <d v="2025-04-27T00:00:00"/>
        <d v="2025-02-28T00:00:00"/>
        <d v="2025-04-28T00:00:00"/>
        <d v="2024-12-14T00:00:00"/>
        <d v="2025-03-19T00:00:00"/>
        <d v="2025-03-03T00:00:00"/>
        <d v="2025-02-09T00:00:00"/>
        <d v="2025-01-16T00:00:00"/>
        <d v="2025-04-30T00:00:00"/>
        <d v="2025-01-23T00:00:00"/>
        <d v="2025-04-23T00:00:00"/>
        <d v="2025-01-28T00:00:00"/>
        <d v="2025-02-27T00:00:00"/>
        <d v="2024-12-24T00:00:00"/>
        <d v="2025-05-31T00:00:00"/>
        <d v="2025-05-10T00:00:00"/>
        <d v="2025-05-23T00:00:00"/>
        <d v="2025-06-08T00:00:00"/>
        <d v="2025-04-15T00:00:00"/>
        <d v="2025-05-12T00:00:00"/>
        <d v="2025-04-24T00:00:00"/>
        <d v="2025-02-12T00:00:00"/>
        <d v="2025-05-16T00:00:00"/>
        <d v="2025-01-06T00:00:00"/>
        <d v="2025-01-04T00:00:00"/>
        <d v="2025-05-01T00:00:00"/>
        <d v="2025-05-06T00:00:00"/>
        <d v="2025-03-23T00:00:00"/>
        <d v="2025-03-02T00:00:00"/>
        <d v="2025-05-04T00:00:00"/>
        <d v="2025-02-20T00:00:00"/>
        <d v="2024-12-11T00:00:00"/>
        <d v="2025-05-13T00:00:00"/>
        <d v="2025-02-08T00:00:00"/>
        <d v="2025-02-14T00:00:00"/>
        <d v="2025-01-08T00:00:00"/>
        <d v="2025-04-18T00:00:00"/>
        <d v="2025-03-13T00:00:00"/>
        <d v="2024-12-17T00:00:00"/>
        <d v="2025-05-27T00:00:00"/>
        <d v="2024-12-15T00:00:00"/>
        <d v="2025-06-09T00:00:00"/>
        <d v="2025-04-29T00:00:00"/>
        <d v="2024-12-12T00:00:00"/>
        <d v="2025-04-11T00:00:00"/>
        <d v="2024-12-21T00:00:00"/>
        <d v="2025-05-19T00:00:00"/>
        <d v="2025-01-01T00:00:00"/>
        <d v="2024-12-30T00:00:00"/>
        <d v="2025-02-01T00:00:00"/>
        <d v="2025-02-19T00:00:00"/>
        <d v="2025-01-18T00:00:00"/>
        <d v="2025-05-15T00:00:00"/>
        <d v="2025-04-02T00:00:00"/>
        <d v="2025-03-17T00:00:00"/>
        <d v="2025-03-14T00:00:00"/>
        <d v="2025-01-20T00:00:00"/>
        <d v="2025-05-22T00:00:00"/>
        <d v="2024-12-26T00:00:00"/>
        <d v="2025-04-26T00:00:00"/>
        <d v="2025-02-04T00:00:00"/>
        <d v="2024-12-25T00:00:00"/>
        <d v="2025-02-07T00:00:00"/>
        <d v="2025-05-21T00:00:00"/>
        <d v="2024-12-18T00:00:00"/>
        <d v="2024-12-31T00:00:00"/>
        <d v="2025-06-04T00:00:00"/>
        <d v="2025-03-22T00:00:00"/>
        <d v="2024-12-29T00:00:00"/>
        <d v="2025-03-29T00:00:00"/>
        <d v="2025-02-26T00:00:00"/>
        <d v="2025-03-27T00:00:00"/>
        <d v="2025-01-29T00:00:00"/>
        <d v="2025-04-13T00:00:00"/>
        <d v="2025-01-31T00:00:00"/>
        <d v="2025-03-21T00:00:00"/>
        <d v="2025-05-17T00:00:00"/>
        <d v="2025-05-11T00:00:00"/>
        <d v="2025-01-07T00:00:00"/>
        <d v="2025-02-06T00:00:00"/>
        <d v="2025-03-20T00:00:00"/>
        <d v="2025-06-07T00:00:00"/>
        <d v="2025-02-11T00:00:00"/>
        <d v="2025-05-09T00:00:00"/>
        <d v="2025-02-17T00:00:00"/>
        <d v="2025-05-18T00:00:00"/>
        <d v="2025-06-03T00:00:00"/>
        <d v="2025-01-02T00:00:00"/>
        <d v="2025-01-24T00:00:00"/>
        <d v="2025-04-03T00:00:00"/>
        <d v="2025-01-13T00:00:00"/>
        <d v="2025-04-14T00:00:00"/>
        <d v="2025-01-09T00:00:00"/>
        <d v="2025-05-05T00:00:00"/>
        <d v="2025-03-12T00:00:00"/>
      </sharedItems>
      <fieldGroup par="20"/>
    </cacheField>
    <cacheField name="Channel" numFmtId="0">
      <sharedItems count="5">
        <s v="Google Ads"/>
        <s v="Facebook"/>
        <s v="Twitter"/>
        <s v="LinkedIn"/>
        <s v="Instagram"/>
      </sharedItems>
    </cacheField>
    <cacheField name="Region" numFmtId="0">
      <sharedItems count="4">
        <s v="East"/>
        <s v="South"/>
        <s v="North"/>
        <s v="West"/>
      </sharedItems>
    </cacheField>
    <cacheField name="Budget ($)" numFmtId="0">
      <sharedItems containsSemiMixedTypes="0" containsString="0" containsNumber="1" minValue="3038.65" maxValue="9998.02"/>
    </cacheField>
    <cacheField name="Spend ($)" numFmtId="0">
      <sharedItems containsSemiMixedTypes="0" containsString="0" containsNumber="1" minValue="2587.9299999999998" maxValue="10987.73" count="500">
        <n v="6100.84"/>
        <n v="6089.05"/>
        <n v="3610.48"/>
        <n v="6414.34"/>
        <n v="7623.98"/>
        <n v="3818.06"/>
        <n v="5345.17"/>
        <n v="3529.68"/>
        <n v="6412.65"/>
        <n v="6452.63"/>
        <n v="6173.28"/>
        <n v="10507.01"/>
        <n v="4256.22"/>
        <n v="5087.49"/>
        <n v="3476.63"/>
        <n v="6824.35"/>
        <n v="5840.17"/>
        <n v="9115.59"/>
        <n v="7735.42"/>
        <n v="3556.82"/>
        <n v="5042.29"/>
        <n v="4861.13"/>
        <n v="4148.5600000000004"/>
        <n v="10222.040000000001"/>
        <n v="3174.29"/>
        <n v="8357.33"/>
        <n v="4598.91"/>
        <n v="6621.4"/>
        <n v="4646.53"/>
        <n v="7956.67"/>
        <n v="3890.78"/>
        <n v="7145.75"/>
        <n v="6181.42"/>
        <n v="3039.6"/>
        <n v="4953.84"/>
        <n v="4380.2299999999996"/>
        <n v="3787.54"/>
        <n v="4454.33"/>
        <n v="7890.55"/>
        <n v="4597.8"/>
        <n v="9247.58"/>
        <n v="3274.11"/>
        <n v="9234.1299999999992"/>
        <n v="6083.56"/>
        <n v="3460.09"/>
        <n v="5028.96"/>
        <n v="6053.01"/>
        <n v="4520.42"/>
        <n v="4050.37"/>
        <n v="5315.67"/>
        <n v="8158.82"/>
        <n v="7041.12"/>
        <n v="7924.43"/>
        <n v="7371.45"/>
        <n v="7142.77"/>
        <n v="7929.09"/>
        <n v="3210.75"/>
        <n v="2971.61"/>
        <n v="6406.14"/>
        <n v="6169.54"/>
        <n v="4493.37"/>
        <n v="8020.49"/>
        <n v="8428.9500000000007"/>
        <n v="3885.45"/>
        <n v="9209.25"/>
        <n v="5541.31"/>
        <n v="9522.3799999999992"/>
        <n v="3045.21"/>
        <n v="5815.99"/>
        <n v="6127.22"/>
        <n v="6892.92"/>
        <n v="4632.29"/>
        <n v="5404.19"/>
        <n v="8920.27"/>
        <n v="3327.86"/>
        <n v="5140.6000000000004"/>
        <n v="9145.7999999999993"/>
        <n v="6342.93"/>
        <n v="4439.78"/>
        <n v="3150.05"/>
        <n v="10409.08"/>
        <n v="4498.8100000000004"/>
        <n v="6537.02"/>
        <n v="7969.31"/>
        <n v="8018.06"/>
        <n v="7455.26"/>
        <n v="5796.14"/>
        <n v="8361.6299999999992"/>
        <n v="9344.83"/>
        <n v="7187.78"/>
        <n v="9038.44"/>
        <n v="8955.01"/>
        <n v="8545.0400000000009"/>
        <n v="9144.7900000000009"/>
        <n v="4661.97"/>
        <n v="3055.46"/>
        <n v="4891.91"/>
        <n v="3414.01"/>
        <n v="3720.9"/>
        <n v="4451.51"/>
        <n v="3225.3"/>
        <n v="7595.04"/>
        <n v="5932.1"/>
        <n v="4561.3999999999996"/>
        <n v="3459.6"/>
        <n v="7263.22"/>
        <n v="3583.48"/>
        <n v="7986.64"/>
        <n v="9891"/>
        <n v="6742.3"/>
        <n v="5642.03"/>
        <n v="3102.62"/>
        <n v="9087.9699999999993"/>
        <n v="3491.33"/>
        <n v="3918.2"/>
        <n v="7241.7"/>
        <n v="5553.46"/>
        <n v="8973.91"/>
        <n v="3468.56"/>
        <n v="7683.16"/>
        <n v="5677.09"/>
        <n v="7381.5"/>
        <n v="10424.93"/>
        <n v="2893.8"/>
        <n v="3679.05"/>
        <n v="5512.59"/>
        <n v="7696.77"/>
        <n v="7788.01"/>
        <n v="8479.83"/>
        <n v="4348.91"/>
        <n v="9176.4599999999991"/>
        <n v="7610.3"/>
        <n v="8366.5400000000009"/>
        <n v="6881.66"/>
        <n v="6850.12"/>
        <n v="8497.14"/>
        <n v="7725.86"/>
        <n v="10472.469999999999"/>
        <n v="6936.91"/>
        <n v="5309.96"/>
        <n v="8856.09"/>
        <n v="5280.32"/>
        <n v="6494.59"/>
        <n v="3219.42"/>
        <n v="6084.32"/>
        <n v="6498.02"/>
        <n v="6548.82"/>
        <n v="9037.5"/>
        <n v="9421.0400000000009"/>
        <n v="7552.83"/>
        <n v="8165.91"/>
        <n v="7787.31"/>
        <n v="2896.55"/>
        <n v="3200.48"/>
        <n v="8016.84"/>
        <n v="4981.33"/>
        <n v="4971.32"/>
        <n v="7958.07"/>
        <n v="7349.17"/>
        <n v="7501.35"/>
        <n v="7470.4"/>
        <n v="7210.26"/>
        <n v="2934.18"/>
        <n v="8647.4500000000007"/>
        <n v="4232.2299999999996"/>
        <n v="5337.16"/>
        <n v="10762.21"/>
        <n v="6029.18"/>
        <n v="6614.68"/>
        <n v="9501.64"/>
        <n v="6750.32"/>
        <n v="7372.9"/>
        <n v="5878.49"/>
        <n v="3964.73"/>
        <n v="10304.67"/>
        <n v="5806.31"/>
        <n v="3596.33"/>
        <n v="10987.73"/>
        <n v="9082.2900000000009"/>
        <n v="4424.67"/>
        <n v="9502.7199999999993"/>
        <n v="7589.75"/>
        <n v="3800.49"/>
        <n v="8036.77"/>
        <n v="6645.65"/>
        <n v="4893.67"/>
        <n v="8170.73"/>
        <n v="3776.32"/>
        <n v="5328.53"/>
        <n v="6494.25"/>
        <n v="6829.49"/>
        <n v="7786.39"/>
        <n v="4343.72"/>
        <n v="4508.3900000000003"/>
        <n v="5794.63"/>
        <n v="3851.35"/>
        <n v="3294.61"/>
        <n v="6397.37"/>
        <n v="8741.17"/>
        <n v="3607.64"/>
        <n v="3695.61"/>
        <n v="3027.78"/>
        <n v="4041.15"/>
        <n v="6358.58"/>
        <n v="6097.63"/>
        <n v="7729.97"/>
        <n v="8854.98"/>
        <n v="4068.66"/>
        <n v="6673.22"/>
        <n v="6676.44"/>
        <n v="8541.5"/>
        <n v="5596.04"/>
        <n v="5872.08"/>
        <n v="4546.76"/>
        <n v="4024.28"/>
        <n v="9031.27"/>
        <n v="8094.01"/>
        <n v="6597.87"/>
        <n v="5047.7700000000004"/>
        <n v="5507.08"/>
        <n v="6019.73"/>
        <n v="3870.78"/>
        <n v="4004.97"/>
        <n v="4256.37"/>
        <n v="3409.75"/>
        <n v="8233.2900000000009"/>
        <n v="10370.06"/>
        <n v="4090.61"/>
        <n v="9192.2199999999993"/>
        <n v="5112.8500000000004"/>
        <n v="4884.67"/>
        <n v="3919.31"/>
        <n v="4891.74"/>
        <n v="6111.84"/>
        <n v="4500.97"/>
        <n v="8904.0400000000009"/>
        <n v="4803.7700000000004"/>
        <n v="6749.86"/>
        <n v="5871.24"/>
        <n v="8167.91"/>
        <n v="8174.94"/>
        <n v="7961.38"/>
        <n v="4131.8999999999996"/>
        <n v="3520.77"/>
        <n v="7326.54"/>
        <n v="8388.4500000000007"/>
        <n v="5546.01"/>
        <n v="5233.7299999999996"/>
        <n v="4948.68"/>
        <n v="7294.42"/>
        <n v="4131.2"/>
        <n v="4498.7700000000004"/>
        <n v="7047.17"/>
        <n v="7203.83"/>
        <n v="4849.3"/>
        <n v="7190.08"/>
        <n v="5644.76"/>
        <n v="7481.49"/>
        <n v="7250.79"/>
        <n v="8184.75"/>
        <n v="7565.47"/>
        <n v="4631.17"/>
        <n v="6518.85"/>
        <n v="8147.86"/>
        <n v="6432.87"/>
        <n v="9829.94"/>
        <n v="8481.08"/>
        <n v="3957.48"/>
        <n v="6093.86"/>
        <n v="8865.23"/>
        <n v="10405.1"/>
        <n v="10021.799999999999"/>
        <n v="6565.68"/>
        <n v="5564.81"/>
        <n v="4904.8"/>
        <n v="8531.94"/>
        <n v="7637.38"/>
        <n v="5194.2700000000004"/>
        <n v="6006.32"/>
        <n v="5393.78"/>
        <n v="3088.76"/>
        <n v="8215.83"/>
        <n v="3953.82"/>
        <n v="5878.4"/>
        <n v="4779.58"/>
        <n v="3515.38"/>
        <n v="5700.19"/>
        <n v="5909.54"/>
        <n v="5618.94"/>
        <n v="4523.6499999999996"/>
        <n v="4946.46"/>
        <n v="4733.55"/>
        <n v="7993.2"/>
        <n v="3958.73"/>
        <n v="2608.38"/>
        <n v="4232.0600000000004"/>
        <n v="3226.51"/>
        <n v="9430.98"/>
        <n v="6613.35"/>
        <n v="7455.66"/>
        <n v="3599.62"/>
        <n v="6560.3"/>
        <n v="7872.09"/>
        <n v="5528.22"/>
        <n v="6800.32"/>
        <n v="5377.02"/>
        <n v="7026.98"/>
        <n v="6850.38"/>
        <n v="4821.4799999999996"/>
        <n v="6723.82"/>
        <n v="4176.17"/>
        <n v="5687.9"/>
        <n v="3361.16"/>
        <n v="6206.94"/>
        <n v="7929.79"/>
        <n v="2587.9299999999998"/>
        <n v="8927.81"/>
        <n v="6526.96"/>
        <n v="5426.88"/>
        <n v="2829.06"/>
        <n v="3511.38"/>
        <n v="5075.8900000000003"/>
        <n v="7142.72"/>
        <n v="6326.66"/>
        <n v="7026.51"/>
        <n v="4731.99"/>
        <n v="6338.94"/>
        <n v="6985.62"/>
        <n v="7681.5"/>
        <n v="5281.79"/>
        <n v="8668.19"/>
        <n v="6477.59"/>
        <n v="7923.66"/>
        <n v="5237.6499999999996"/>
        <n v="9289.7999999999993"/>
        <n v="7669.96"/>
        <n v="4495.2299999999996"/>
        <n v="10738.67"/>
        <n v="8554.9"/>
        <n v="7496.33"/>
        <n v="7008.66"/>
        <n v="10613.34"/>
        <n v="9516.41"/>
        <n v="7139.65"/>
        <n v="3854.79"/>
        <n v="7102.07"/>
        <n v="3093.03"/>
        <n v="7644.22"/>
        <n v="9061.59"/>
        <n v="3364.32"/>
        <n v="8745.9599999999991"/>
        <n v="9445.2999999999993"/>
        <n v="7705.54"/>
        <n v="7851.64"/>
        <n v="7752.33"/>
        <n v="7115.21"/>
        <n v="4858.3100000000004"/>
        <n v="3766.73"/>
        <n v="9203.5400000000009"/>
        <n v="6713.96"/>
        <n v="7031.65"/>
        <n v="9917.44"/>
        <n v="6200.6"/>
        <n v="5004.47"/>
        <n v="6919.07"/>
        <n v="3668.73"/>
        <n v="7653.98"/>
        <n v="10420.99"/>
        <n v="8491.31"/>
        <n v="8380.83"/>
        <n v="7555.18"/>
        <n v="6609.33"/>
        <n v="3870.62"/>
        <n v="4166.87"/>
        <n v="9422.08"/>
        <n v="5663.71"/>
        <n v="4924.13"/>
        <n v="5334.24"/>
        <n v="6404"/>
        <n v="6105.07"/>
        <n v="7933.59"/>
        <n v="6125.66"/>
        <n v="8560.83"/>
        <n v="9184.5300000000007"/>
        <n v="7914.16"/>
        <n v="7008.67"/>
        <n v="7362.19"/>
        <n v="3513.97"/>
        <n v="4312.57"/>
        <n v="5254.37"/>
        <n v="8009.03"/>
        <n v="4771.42"/>
        <n v="7038.62"/>
        <n v="7392.38"/>
        <n v="8019.71"/>
        <n v="9621.4599999999991"/>
        <n v="5170.33"/>
        <n v="6394.31"/>
        <n v="3524.25"/>
        <n v="10025.67"/>
        <n v="6707.55"/>
        <n v="4984.07"/>
        <n v="7267.6"/>
        <n v="9259.8700000000008"/>
        <n v="4304.7299999999996"/>
        <n v="3748.65"/>
        <n v="6686.79"/>
        <n v="3772.18"/>
        <n v="5887.96"/>
        <n v="5387.81"/>
        <n v="8045.68"/>
        <n v="3203.46"/>
        <n v="8525.25"/>
        <n v="4559.12"/>
        <n v="8845.11"/>
        <n v="6197.55"/>
        <n v="9304.19"/>
        <n v="5320.73"/>
        <n v="7245.95"/>
        <n v="5277"/>
        <n v="5074.6899999999996"/>
        <n v="4970.8"/>
        <n v="5425.49"/>
        <n v="5084.47"/>
        <n v="6867.71"/>
        <n v="3258.78"/>
        <n v="3796.26"/>
        <n v="7663.06"/>
        <n v="5049.05"/>
        <n v="4417.84"/>
        <n v="4852.84"/>
        <n v="8140.68"/>
        <n v="3468.79"/>
        <n v="6431.55"/>
        <n v="3237.28"/>
        <n v="9226.19"/>
        <n v="5615.11"/>
        <n v="8932.7999999999993"/>
        <n v="6123.52"/>
        <n v="6695.78"/>
        <n v="4010.16"/>
        <n v="4955.12"/>
        <n v="4432.6099999999997"/>
        <n v="6270.75"/>
        <n v="5054.04"/>
        <n v="6493.92"/>
        <n v="2836.55"/>
        <n v="6615.67"/>
        <n v="7605.74"/>
        <n v="6136.26"/>
        <n v="8829.82"/>
        <n v="7640.66"/>
        <n v="8621.15"/>
        <n v="7673.21"/>
        <n v="7283.25"/>
        <n v="3978.79"/>
        <n v="3709.65"/>
        <n v="4507.13"/>
        <n v="5020.25"/>
        <n v="5994.66"/>
        <n v="3802.01"/>
        <n v="4792.6099999999997"/>
        <n v="7061.81"/>
        <n v="5378.62"/>
        <n v="4003.74"/>
        <n v="8179.57"/>
        <n v="7408.09"/>
        <n v="3384.58"/>
        <n v="7206.1"/>
        <n v="8428.94"/>
        <n v="3701.82"/>
        <n v="3261.42"/>
        <n v="2740.31"/>
        <n v="8534.27"/>
        <n v="2779.27"/>
        <n v="7819.12"/>
        <n v="7925.08"/>
        <n v="6256.6"/>
        <n v="3217.81"/>
        <n v="6826.59"/>
        <n v="8107.27"/>
        <n v="6475.33"/>
        <n v="8252.06"/>
        <n v="7387.01"/>
        <n v="8820.6"/>
        <n v="9581.91"/>
        <n v="4499.2"/>
        <n v="6288.61"/>
        <n v="8141.3"/>
        <n v="6206.43"/>
        <n v="7119.19"/>
        <n v="5235.0600000000004"/>
        <n v="8903.19"/>
        <n v="6323.41"/>
        <n v="5460.9"/>
        <n v="5113.62"/>
        <n v="5345.87"/>
        <n v="4872.8900000000003"/>
        <n v="7227.49"/>
        <n v="5707.04"/>
      </sharedItems>
    </cacheField>
    <cacheField name="Impressions" numFmtId="0">
      <sharedItems containsSemiMixedTypes="0" containsString="0" containsNumber="1" containsInteger="1" minValue="50360" maxValue="199789" count="500">
        <n v="120704"/>
        <n v="64473"/>
        <n v="113908"/>
        <n v="91921"/>
        <n v="191026"/>
        <n v="127588"/>
        <n v="72336"/>
        <n v="64153"/>
        <n v="53911"/>
        <n v="185980"/>
        <n v="195024"/>
        <n v="54909"/>
        <n v="69520"/>
        <n v="126413"/>
        <n v="76429"/>
        <n v="59367"/>
        <n v="186370"/>
        <n v="177209"/>
        <n v="113245"/>
        <n v="134800"/>
        <n v="128160"/>
        <n v="156949"/>
        <n v="138676"/>
        <n v="133918"/>
        <n v="116892"/>
        <n v="187598"/>
        <n v="145792"/>
        <n v="144942"/>
        <n v="81620"/>
        <n v="73683"/>
        <n v="69783"/>
        <n v="154773"/>
        <n v="69731"/>
        <n v="188839"/>
        <n v="146830"/>
        <n v="114426"/>
        <n v="78896"/>
        <n v="114833"/>
        <n v="86560"/>
        <n v="74753"/>
        <n v="177534"/>
        <n v="179996"/>
        <n v="169629"/>
        <n v="103534"/>
        <n v="157185"/>
        <n v="114793"/>
        <n v="175219"/>
        <n v="100064"/>
        <n v="61208"/>
        <n v="64306"/>
        <n v="160805"/>
        <n v="169372"/>
        <n v="77537"/>
        <n v="111631"/>
        <n v="102718"/>
        <n v="79647"/>
        <n v="155333"/>
        <n v="81389"/>
        <n v="146743"/>
        <n v="121778"/>
        <n v="145652"/>
        <n v="80391"/>
        <n v="136864"/>
        <n v="135649"/>
        <n v="75522"/>
        <n v="180933"/>
        <n v="130681"/>
        <n v="162389"/>
        <n v="94836"/>
        <n v="191486"/>
        <n v="138384"/>
        <n v="72528"/>
        <n v="173181"/>
        <n v="107709"/>
        <n v="86473"/>
        <n v="94803"/>
        <n v="55244"/>
        <n v="103713"/>
        <n v="110834"/>
        <n v="122735"/>
        <n v="188008"/>
        <n v="139883"/>
        <n v="138325"/>
        <n v="82264"/>
        <n v="88706"/>
        <n v="141755"/>
        <n v="97675"/>
        <n v="155967"/>
        <n v="154219"/>
        <n v="133842"/>
        <n v="126153"/>
        <n v="83386"/>
        <n v="137986"/>
        <n v="103318"/>
        <n v="163071"/>
        <n v="115973"/>
        <n v="58155"/>
        <n v="121100"/>
        <n v="129730"/>
        <n v="51577"/>
        <n v="147591"/>
        <n v="189630"/>
        <n v="175761"/>
        <n v="151629"/>
        <n v="120702"/>
        <n v="176077"/>
        <n v="134667"/>
        <n v="178492"/>
        <n v="145812"/>
        <n v="186329"/>
        <n v="147883"/>
        <n v="134164"/>
        <n v="127750"/>
        <n v="99153"/>
        <n v="171690"/>
        <n v="196304"/>
        <n v="184625"/>
        <n v="65860"/>
        <n v="149919"/>
        <n v="124319"/>
        <n v="149623"/>
        <n v="53378"/>
        <n v="165946"/>
        <n v="66013"/>
        <n v="163376"/>
        <n v="139628"/>
        <n v="62770"/>
        <n v="129840"/>
        <n v="81087"/>
        <n v="199475"/>
        <n v="197123"/>
        <n v="139183"/>
        <n v="144975"/>
        <n v="77279"/>
        <n v="195662"/>
        <n v="168167"/>
        <n v="163943"/>
        <n v="137121"/>
        <n v="174799"/>
        <n v="58780"/>
        <n v="198199"/>
        <n v="103994"/>
        <n v="149870"/>
        <n v="77061"/>
        <n v="70716"/>
        <n v="81757"/>
        <n v="127949"/>
        <n v="130404"/>
        <n v="162097"/>
        <n v="154555"/>
        <n v="56338"/>
        <n v="168488"/>
        <n v="70782"/>
        <n v="187830"/>
        <n v="77085"/>
        <n v="181387"/>
        <n v="161384"/>
        <n v="115218"/>
        <n v="86944"/>
        <n v="126890"/>
        <n v="119094"/>
        <n v="120570"/>
        <n v="173652"/>
        <n v="53244"/>
        <n v="197753"/>
        <n v="95888"/>
        <n v="130274"/>
        <n v="53089"/>
        <n v="110033"/>
        <n v="75315"/>
        <n v="194023"/>
        <n v="105156"/>
        <n v="136337"/>
        <n v="191309"/>
        <n v="143568"/>
        <n v="69711"/>
        <n v="114949"/>
        <n v="128670"/>
        <n v="92405"/>
        <n v="113689"/>
        <n v="72317"/>
        <n v="59223"/>
        <n v="123058"/>
        <n v="133482"/>
        <n v="130705"/>
        <n v="168213"/>
        <n v="55771"/>
        <n v="158774"/>
        <n v="167161"/>
        <n v="54315"/>
        <n v="112474"/>
        <n v="76227"/>
        <n v="85573"/>
        <n v="156215"/>
        <n v="83163"/>
        <n v="122395"/>
        <n v="148880"/>
        <n v="150378"/>
        <n v="141253"/>
        <n v="171015"/>
        <n v="127713"/>
        <n v="95400"/>
        <n v="154562"/>
        <n v="100148"/>
        <n v="109858"/>
        <n v="158340"/>
        <n v="114026"/>
        <n v="188606"/>
        <n v="137418"/>
        <n v="195298"/>
        <n v="191329"/>
        <n v="118663"/>
        <n v="55825"/>
        <n v="53730"/>
        <n v="177951"/>
        <n v="52910"/>
        <n v="57737"/>
        <n v="167465"/>
        <n v="133310"/>
        <n v="113210"/>
        <n v="186208"/>
        <n v="197176"/>
        <n v="138708"/>
        <n v="198805"/>
        <n v="89656"/>
        <n v="99291"/>
        <n v="111502"/>
        <n v="85109"/>
        <n v="92367"/>
        <n v="149385"/>
        <n v="134522"/>
        <n v="178747"/>
        <n v="73811"/>
        <n v="61124"/>
        <n v="65992"/>
        <n v="80479"/>
        <n v="65167"/>
        <n v="109928"/>
        <n v="155287"/>
        <n v="78740"/>
        <n v="158786"/>
        <n v="158182"/>
        <n v="70430"/>
        <n v="53472"/>
        <n v="65231"/>
        <n v="136646"/>
        <n v="106358"/>
        <n v="179651"/>
        <n v="87263"/>
        <n v="142706"/>
        <n v="197165"/>
        <n v="141042"/>
        <n v="103661"/>
        <n v="71137"/>
        <n v="109146"/>
        <n v="119284"/>
        <n v="192983"/>
        <n v="121420"/>
        <n v="157129"/>
        <n v="194986"/>
        <n v="75023"/>
        <n v="190925"/>
        <n v="166397"/>
        <n v="77672"/>
        <n v="127332"/>
        <n v="155035"/>
        <n v="148308"/>
        <n v="74611"/>
        <n v="196435"/>
        <n v="50483"/>
        <n v="156463"/>
        <n v="128263"/>
        <n v="52499"/>
        <n v="67097"/>
        <n v="191774"/>
        <n v="178702"/>
        <n v="70461"/>
        <n v="105961"/>
        <n v="70597"/>
        <n v="99708"/>
        <n v="170519"/>
        <n v="124323"/>
        <n v="92675"/>
        <n v="71769"/>
        <n v="61798"/>
        <n v="78277"/>
        <n v="65823"/>
        <n v="146175"/>
        <n v="102654"/>
        <n v="68829"/>
        <n v="112356"/>
        <n v="195477"/>
        <n v="161797"/>
        <n v="191829"/>
        <n v="54030"/>
        <n v="134964"/>
        <n v="99410"/>
        <n v="152642"/>
        <n v="111235"/>
        <n v="195593"/>
        <n v="191906"/>
        <n v="163874"/>
        <n v="173144"/>
        <n v="131078"/>
        <n v="171377"/>
        <n v="118229"/>
        <n v="93966"/>
        <n v="180247"/>
        <n v="80643"/>
        <n v="175493"/>
        <n v="125145"/>
        <n v="197509"/>
        <n v="158254"/>
        <n v="50360"/>
        <n v="98472"/>
        <n v="154581"/>
        <n v="68618"/>
        <n v="95395"/>
        <n v="87162"/>
        <n v="54764"/>
        <n v="141976"/>
        <n v="85169"/>
        <n v="75206"/>
        <n v="185576"/>
        <n v="156872"/>
        <n v="115212"/>
        <n v="106540"/>
        <n v="110667"/>
        <n v="76558"/>
        <n v="83532"/>
        <n v="149998"/>
        <n v="171861"/>
        <n v="111608"/>
        <n v="115362"/>
        <n v="166037"/>
        <n v="116079"/>
        <n v="67946"/>
        <n v="123947"/>
        <n v="68639"/>
        <n v="158533"/>
        <n v="74923"/>
        <n v="196954"/>
        <n v="103912"/>
        <n v="135367"/>
        <n v="154277"/>
        <n v="194871"/>
        <n v="57427"/>
        <n v="192331"/>
        <n v="66208"/>
        <n v="132053"/>
        <n v="195707"/>
        <n v="106946"/>
        <n v="170434"/>
        <n v="61724"/>
        <n v="194762"/>
        <n v="188259"/>
        <n v="99224"/>
        <n v="83109"/>
        <n v="111688"/>
        <n v="134861"/>
        <n v="176820"/>
        <n v="86387"/>
        <n v="53430"/>
        <n v="164936"/>
        <n v="152738"/>
        <n v="76927"/>
        <n v="69189"/>
        <n v="127993"/>
        <n v="124998"/>
        <n v="107520"/>
        <n v="117796"/>
        <n v="56417"/>
        <n v="133159"/>
        <n v="184724"/>
        <n v="184680"/>
        <n v="89044"/>
        <n v="146101"/>
        <n v="130452"/>
        <n v="115837"/>
        <n v="186219"/>
        <n v="165044"/>
        <n v="181245"/>
        <n v="125026"/>
        <n v="172320"/>
        <n v="169951"/>
        <n v="117094"/>
        <n v="54766"/>
        <n v="197025"/>
        <n v="119124"/>
        <n v="68519"/>
        <n v="140986"/>
        <n v="175888"/>
        <n v="187533"/>
        <n v="91252"/>
        <n v="145695"/>
        <n v="165271"/>
        <n v="69967"/>
        <n v="193477"/>
        <n v="180485"/>
        <n v="149220"/>
        <n v="128069"/>
        <n v="50640"/>
        <n v="159631"/>
        <n v="92070"/>
        <n v="138224"/>
        <n v="63940"/>
        <n v="192599"/>
        <n v="65526"/>
        <n v="149688"/>
        <n v="118998"/>
        <n v="115280"/>
        <n v="129278"/>
        <n v="113951"/>
        <n v="160215"/>
        <n v="176532"/>
        <n v="93893"/>
        <n v="70743"/>
        <n v="84061"/>
        <n v="108436"/>
        <n v="143676"/>
        <n v="76424"/>
        <n v="131046"/>
        <n v="69001"/>
        <n v="179928"/>
        <n v="151737"/>
        <n v="188031"/>
        <n v="55760"/>
        <n v="94851"/>
        <n v="134423"/>
        <n v="111462"/>
        <n v="102748"/>
        <n v="180765"/>
        <n v="143614"/>
        <n v="174898"/>
        <n v="179667"/>
        <n v="142353"/>
        <n v="161295"/>
        <n v="72755"/>
        <n v="136413"/>
        <n v="190122"/>
        <n v="84930"/>
        <n v="120822"/>
        <n v="108943"/>
        <n v="145244"/>
        <n v="174584"/>
        <n v="187179"/>
        <n v="113319"/>
        <n v="97411"/>
        <n v="172776"/>
        <n v="117252"/>
        <n v="149827"/>
        <n v="148415"/>
        <n v="96330"/>
        <n v="96745"/>
        <n v="66585"/>
        <n v="192117"/>
        <n v="194804"/>
        <n v="91032"/>
        <n v="116506"/>
        <n v="55887"/>
        <n v="111392"/>
        <n v="127536"/>
        <n v="72374"/>
        <n v="194426"/>
        <n v="63381"/>
        <n v="109943"/>
        <n v="142900"/>
        <n v="197974"/>
        <n v="102196"/>
        <n v="72102"/>
        <n v="138622"/>
        <n v="75127"/>
        <n v="65706"/>
        <n v="59862"/>
        <n v="74195"/>
        <n v="175747"/>
        <n v="150368"/>
        <n v="199789"/>
        <n v="183098"/>
        <n v="170452"/>
        <n v="118097"/>
        <n v="115700"/>
        <n v="55522"/>
        <n v="150531"/>
        <n v="103488"/>
        <n v="84687"/>
        <n v="147771"/>
        <n v="112643"/>
        <n v="99483"/>
        <n v="166799"/>
        <n v="64146"/>
        <n v="165901"/>
        <n v="52359"/>
        <n v="158601"/>
        <n v="73610"/>
        <n v="67169"/>
        <n v="152621"/>
        <n v="107940"/>
        <n v="68836"/>
        <n v="140338"/>
      </sharedItems>
    </cacheField>
    <cacheField name="Clicks" numFmtId="0">
      <sharedItems containsSemiMixedTypes="0" containsString="0" containsNumber="1" containsInteger="1" minValue="1009" maxValue="9701"/>
    </cacheField>
    <cacheField name="Conversions" numFmtId="0">
      <sharedItems containsSemiMixedTypes="0" containsString="0" containsNumber="1" containsInteger="1" minValue="50" maxValue="1490"/>
    </cacheField>
    <cacheField name="Revenue ($)" numFmtId="0">
      <sharedItems containsSemiMixedTypes="0" containsString="0" containsNumber="1" minValue="1280.48" maxValue="68626.38"/>
    </cacheField>
    <cacheField name="CTR" numFmtId="0">
      <sharedItems containsSemiMixedTypes="0" containsString="0" containsNumber="1" minValue="5.1806820632361548E-3" maxValue="4.9742595783083106E-2"/>
    </cacheField>
    <cacheField name="CPC" numFmtId="0">
      <sharedItems containsSemiMixedTypes="0" containsString="0" containsNumber="1" minValue="0.37146698434309056" maxValue="8.4760392506690447"/>
    </cacheField>
    <cacheField name="CPA" numFmtId="0">
      <sharedItems containsSemiMixedTypes="0" containsString="0" containsNumber="1" minValue="2.0579553148273528" maxValue="178.92673076923077"/>
    </cacheField>
    <cacheField name="ROAS" numFmtId="0">
      <sharedItems containsSemiMixedTypes="0" containsString="0" containsNumber="1" minValue="0.15069541045575335" maxValue="18.995706671930517"/>
    </cacheField>
    <cacheField name="Profit" numFmtId="0">
      <sharedItems containsSemiMixedTypes="0" containsString="0" containsNumber="1" minValue="-7983.630000000001" maxValue="63645.05"/>
    </cacheField>
    <cacheField name="Profit Margin %" numFmtId="0">
      <sharedItems containsSemiMixedTypes="0" containsString="0" containsNumber="1" minValue="-1098773" maxValue="-258793.00000000003"/>
    </cacheField>
    <cacheField name="Year" numFmtId="0">
      <sharedItems containsSemiMixedTypes="0" containsString="0" containsNumber="1" containsInteger="1" minValue="2024" maxValue="2025" count="2">
        <n v="2025"/>
        <n v="2024"/>
      </sharedItems>
    </cacheField>
    <cacheField name="Month" numFmtId="0">
      <sharedItems containsSemiMixedTypes="0" containsString="0" containsNumber="1" containsInteger="1" minValue="1" maxValue="12" count="7">
        <n v="5"/>
        <n v="1"/>
        <n v="4"/>
        <n v="3"/>
        <n v="2"/>
        <n v="12"/>
        <n v="6"/>
      </sharedItems>
    </cacheField>
    <cacheField name="Months (Date)" numFmtId="0" databaseField="0">
      <fieldGroup base="1">
        <rangePr groupBy="months" startDate="2024-12-10T00:00:00" endDate="2025-06-11T00:00:00"/>
        <groupItems count="14">
          <s v="&lt;12/10/2024"/>
          <s v="Jan"/>
          <s v="Feb"/>
          <s v="Mar"/>
          <s v="Apr"/>
          <s v="May"/>
          <s v="Jun"/>
          <s v="Jul"/>
          <s v="Aug"/>
          <s v="Sep"/>
          <s v="Oct"/>
          <s v="Nov"/>
          <s v="Dec"/>
          <s v="&gt;6/11/2025"/>
        </groupItems>
      </fieldGroup>
    </cacheField>
    <cacheField name="Quarters (Date)" numFmtId="0" databaseField="0">
      <fieldGroup base="1">
        <rangePr groupBy="quarters" startDate="2024-12-10T00:00:00" endDate="2025-06-11T00:00:00"/>
        <groupItems count="6">
          <s v="&lt;12/10/2024"/>
          <s v="Qtr1"/>
          <s v="Qtr2"/>
          <s v="Qtr3"/>
          <s v="Qtr4"/>
          <s v="&gt;6/11/2025"/>
        </groupItems>
      </fieldGroup>
    </cacheField>
    <cacheField name="Years (Date)" numFmtId="0" databaseField="0">
      <fieldGroup base="1">
        <rangePr groupBy="years" startDate="2024-12-10T00:00:00" endDate="2025-06-11T00:00:00"/>
        <groupItems count="4">
          <s v="&lt;12/10/2024"/>
          <s v="2024"/>
          <s v="2025"/>
          <s v="&gt;6/11/2025"/>
        </groupItems>
      </fieldGroup>
    </cacheField>
  </cacheFields>
  <extLst>
    <ext xmlns:x14="http://schemas.microsoft.com/office/spreadsheetml/2009/9/main" uri="{725AE2AE-9491-48be-B2B4-4EB974FC3084}">
      <x14:pivotCacheDefinition pivotCacheId="2142353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0001"/>
    <x v="0"/>
    <x v="0"/>
    <x v="0"/>
    <n v="5621.78"/>
    <x v="0"/>
    <x v="0"/>
    <n v="5511"/>
    <n v="1050"/>
    <n v="44057.81"/>
    <n v="4.5657144750795332E-2"/>
    <n v="1.107029577209218"/>
    <n v="5.8103238095238092"/>
    <n v="7.2215973538070166"/>
    <n v="37956.97"/>
    <n v="-610083.99999999965"/>
    <x v="0"/>
    <x v="0"/>
  </r>
  <r>
    <s v="C0002"/>
    <x v="1"/>
    <x v="1"/>
    <x v="1"/>
    <n v="7190.61"/>
    <x v="1"/>
    <x v="1"/>
    <n v="1120"/>
    <n v="72"/>
    <n v="1776.95"/>
    <n v="1.7371612923239185E-2"/>
    <n v="5.436651785714286"/>
    <n v="84.570138888888891"/>
    <n v="0.2918271323112801"/>
    <n v="-4312.1000000000004"/>
    <n v="-608905"/>
    <x v="0"/>
    <x v="1"/>
  </r>
  <r>
    <s v="C0003"/>
    <x v="2"/>
    <x v="1"/>
    <x v="2"/>
    <n v="3406.59"/>
    <x v="2"/>
    <x v="2"/>
    <n v="5345"/>
    <n v="1004"/>
    <n v="38185.58"/>
    <n v="4.6923833268953892E-2"/>
    <n v="0.67548737137511694"/>
    <n v="3.5960956175298806"/>
    <n v="10.57631672243026"/>
    <n v="34575.1"/>
    <n v="-361048.00000000035"/>
    <x v="0"/>
    <x v="2"/>
  </r>
  <r>
    <s v="C0004"/>
    <x v="3"/>
    <x v="2"/>
    <x v="3"/>
    <n v="7956.51"/>
    <x v="3"/>
    <x v="3"/>
    <n v="3787"/>
    <n v="329"/>
    <n v="16153.01"/>
    <n v="4.1198420382719945E-2"/>
    <n v="1.6937787166622658"/>
    <n v="19.49647416413374"/>
    <n v="2.5182653242578348"/>
    <n v="9738.67"/>
    <n v="-641434"/>
    <x v="0"/>
    <x v="0"/>
  </r>
  <r>
    <s v="C0005"/>
    <x v="4"/>
    <x v="3"/>
    <x v="0"/>
    <n v="8827.1"/>
    <x v="4"/>
    <x v="4"/>
    <n v="8786"/>
    <n v="423"/>
    <n v="10767.36"/>
    <n v="4.5993739072168187E-2"/>
    <n v="0.86774186205326653"/>
    <n v="18.023593380614656"/>
    <n v="1.4123017111797251"/>
    <n v="3143.380000000001"/>
    <n v="-762398"/>
    <x v="0"/>
    <x v="0"/>
  </r>
  <r>
    <s v="C0006"/>
    <x v="5"/>
    <x v="4"/>
    <x v="1"/>
    <n v="4283.83"/>
    <x v="5"/>
    <x v="5"/>
    <n v="5087"/>
    <n v="842"/>
    <n v="30095.35"/>
    <n v="3.9870520738627457E-2"/>
    <n v="0.75055238844112437"/>
    <n v="4.5345130641330167"/>
    <n v="7.8823669612316198"/>
    <n v="26277.289999999997"/>
    <n v="-381806.00000000012"/>
    <x v="0"/>
    <x v="2"/>
  </r>
  <r>
    <s v="C0007"/>
    <x v="6"/>
    <x v="2"/>
    <x v="2"/>
    <n v="6023.62"/>
    <x v="6"/>
    <x v="6"/>
    <n v="1340"/>
    <n v="236"/>
    <n v="9051.92"/>
    <n v="1.8524662685246628E-2"/>
    <n v="3.9889328358208958"/>
    <n v="22.649025423728816"/>
    <n v="1.6934765405029213"/>
    <n v="3706.75"/>
    <n v="-534517"/>
    <x v="0"/>
    <x v="3"/>
  </r>
  <r>
    <s v="C0008"/>
    <x v="7"/>
    <x v="1"/>
    <x v="1"/>
    <n v="3976.46"/>
    <x v="7"/>
    <x v="7"/>
    <n v="2806"/>
    <n v="283"/>
    <n v="8770.41"/>
    <n v="4.3739186008448554E-2"/>
    <n v="1.2579044903777619"/>
    <n v="12.472367491166077"/>
    <n v="2.4847606581899777"/>
    <n v="5240.7299999999996"/>
    <n v="-352968"/>
    <x v="0"/>
    <x v="2"/>
  </r>
  <r>
    <s v="C0009"/>
    <x v="8"/>
    <x v="2"/>
    <x v="3"/>
    <n v="6192.49"/>
    <x v="8"/>
    <x v="8"/>
    <n v="2127"/>
    <n v="315"/>
    <n v="8186.92"/>
    <n v="3.9453914785479771E-2"/>
    <n v="3.0148801128349785"/>
    <n v="20.357619047619046"/>
    <n v="1.2766828066400007"/>
    <n v="1774.2700000000004"/>
    <n v="-641265"/>
    <x v="0"/>
    <x v="4"/>
  </r>
  <r>
    <s v="C0010"/>
    <x v="2"/>
    <x v="2"/>
    <x v="1"/>
    <n v="6599.64"/>
    <x v="9"/>
    <x v="9"/>
    <n v="5168"/>
    <n v="68"/>
    <n v="1454.76"/>
    <n v="2.7787934186471665E-2"/>
    <n v="1.2485739164086687"/>
    <n v="94.891617647058823"/>
    <n v="0.22545225745161274"/>
    <n v="-4997.87"/>
    <n v="-645263"/>
    <x v="0"/>
    <x v="2"/>
  </r>
  <r>
    <s v="C0011"/>
    <x v="9"/>
    <x v="2"/>
    <x v="2"/>
    <n v="7252.81"/>
    <x v="10"/>
    <x v="10"/>
    <n v="9701"/>
    <n v="801"/>
    <n v="17583.189999999999"/>
    <n v="4.9742595783083106E-2"/>
    <n v="0.63635501494691271"/>
    <n v="7.7069662921348314"/>
    <n v="2.8482735272010991"/>
    <n v="11409.91"/>
    <n v="-617327.99999999988"/>
    <x v="0"/>
    <x v="3"/>
  </r>
  <r>
    <s v="C0012"/>
    <x v="10"/>
    <x v="4"/>
    <x v="1"/>
    <n v="9642.2000000000007"/>
    <x v="11"/>
    <x v="11"/>
    <n v="2182"/>
    <n v="153"/>
    <n v="6770.54"/>
    <n v="3.9738476388205941E-2"/>
    <n v="4.815311640696609"/>
    <n v="68.673267973856213"/>
    <n v="0.64438313088119259"/>
    <n v="-3736.4700000000003"/>
    <n v="-1050701"/>
    <x v="0"/>
    <x v="2"/>
  </r>
  <r>
    <s v="C0013"/>
    <x v="11"/>
    <x v="3"/>
    <x v="3"/>
    <n v="5132.3"/>
    <x v="12"/>
    <x v="12"/>
    <n v="1141"/>
    <n v="134"/>
    <n v="5430.62"/>
    <n v="1.6412543153049481E-2"/>
    <n v="3.7302541630148993"/>
    <n v="31.762835820895525"/>
    <n v="1.2759255865533266"/>
    <n v="1174.3999999999996"/>
    <n v="-425622"/>
    <x v="0"/>
    <x v="0"/>
  </r>
  <r>
    <s v="C0014"/>
    <x v="12"/>
    <x v="3"/>
    <x v="0"/>
    <n v="6081.07"/>
    <x v="13"/>
    <x v="13"/>
    <n v="3059"/>
    <n v="58"/>
    <n v="2021.61"/>
    <n v="2.4198460601362201E-2"/>
    <n v="1.6631219352729649"/>
    <n v="87.715344827586208"/>
    <n v="0.39736884003703199"/>
    <n v="-3065.88"/>
    <n v="-508749"/>
    <x v="0"/>
    <x v="1"/>
  </r>
  <r>
    <s v="C0015"/>
    <x v="13"/>
    <x v="0"/>
    <x v="0"/>
    <n v="3240.72"/>
    <x v="14"/>
    <x v="14"/>
    <n v="2090"/>
    <n v="69"/>
    <n v="1915.67"/>
    <n v="2.734564105248008E-2"/>
    <n v="1.6634593301435407"/>
    <n v="50.385942028985511"/>
    <n v="0.55101348144611306"/>
    <n v="-1560.96"/>
    <n v="-347663"/>
    <x v="1"/>
    <x v="5"/>
  </r>
  <r>
    <s v="C0016"/>
    <x v="14"/>
    <x v="0"/>
    <x v="3"/>
    <n v="7637.66"/>
    <x v="15"/>
    <x v="15"/>
    <n v="1348"/>
    <n v="152"/>
    <n v="5411.51"/>
    <n v="2.2706217258746442E-2"/>
    <n v="5.0625741839762615"/>
    <n v="44.89703947368421"/>
    <n v="0.79297075911991621"/>
    <n v="-1412.8400000000001"/>
    <n v="-682435"/>
    <x v="0"/>
    <x v="4"/>
  </r>
  <r>
    <s v="C0017"/>
    <x v="15"/>
    <x v="1"/>
    <x v="3"/>
    <n v="6826.97"/>
    <x v="16"/>
    <x v="16"/>
    <n v="9073"/>
    <n v="1366"/>
    <n v="67053.58"/>
    <n v="4.8682727906851964E-2"/>
    <n v="0.64368676292295823"/>
    <n v="4.2753806734992681"/>
    <n v="11.481443177167789"/>
    <n v="61213.41"/>
    <n v="-584016.99999999977"/>
    <x v="0"/>
    <x v="3"/>
  </r>
  <r>
    <s v="C0018"/>
    <x v="4"/>
    <x v="4"/>
    <x v="3"/>
    <n v="8425.93"/>
    <x v="17"/>
    <x v="17"/>
    <n v="2628"/>
    <n v="342"/>
    <n v="16020.93"/>
    <n v="1.4829946560276284E-2"/>
    <n v="3.4686415525114156"/>
    <n v="26.653771929824561"/>
    <n v="1.7575307796862298"/>
    <n v="6905.34"/>
    <n v="-911559"/>
    <x v="0"/>
    <x v="0"/>
  </r>
  <r>
    <s v="C0019"/>
    <x v="16"/>
    <x v="0"/>
    <x v="1"/>
    <n v="7185.3"/>
    <x v="18"/>
    <x v="18"/>
    <n v="4048"/>
    <n v="620"/>
    <n v="14045.96"/>
    <n v="3.5745507527926178E-2"/>
    <n v="1.9109239130434783"/>
    <n v="12.476483870967742"/>
    <n v="1.8157979786488645"/>
    <n v="6310.5399999999991"/>
    <n v="-773542"/>
    <x v="0"/>
    <x v="0"/>
  </r>
  <r>
    <s v="C0020"/>
    <x v="17"/>
    <x v="0"/>
    <x v="2"/>
    <n v="4371.88"/>
    <x v="19"/>
    <x v="19"/>
    <n v="4917"/>
    <n v="128"/>
    <n v="3809.27"/>
    <n v="3.6476261127596436E-2"/>
    <n v="0.72337197478137083"/>
    <n v="27.787656250000001"/>
    <n v="1.0709763215456503"/>
    <n v="252.44999999999982"/>
    <n v="-355682"/>
    <x v="0"/>
    <x v="1"/>
  </r>
  <r>
    <s v="C0021"/>
    <x v="18"/>
    <x v="0"/>
    <x v="0"/>
    <n v="5720.74"/>
    <x v="20"/>
    <x v="20"/>
    <n v="1491"/>
    <n v="279"/>
    <n v="12516.53"/>
    <n v="1.1633895131086142E-2"/>
    <n v="3.381817572099262"/>
    <n v="18.072724014336917"/>
    <n v="2.4823106168030797"/>
    <n v="7474.2400000000007"/>
    <n v="-504229"/>
    <x v="0"/>
    <x v="6"/>
  </r>
  <r>
    <s v="C0022"/>
    <x v="19"/>
    <x v="4"/>
    <x v="3"/>
    <n v="5497.27"/>
    <x v="21"/>
    <x v="21"/>
    <n v="1762"/>
    <n v="304"/>
    <n v="11029.39"/>
    <n v="1.1226576786089749E-2"/>
    <n v="2.7588706015891034"/>
    <n v="15.990559210526316"/>
    <n v="2.2688942694394099"/>
    <n v="6168.2599999999993"/>
    <n v="-486113"/>
    <x v="0"/>
    <x v="0"/>
  </r>
  <r>
    <s v="C0023"/>
    <x v="20"/>
    <x v="1"/>
    <x v="3"/>
    <n v="3986.47"/>
    <x v="22"/>
    <x v="22"/>
    <n v="4683"/>
    <n v="91"/>
    <n v="2023.52"/>
    <n v="3.3769361677579393E-2"/>
    <n v="0.88587657484518478"/>
    <n v="45.588571428571434"/>
    <n v="0.48776442910311041"/>
    <n v="-2125.0400000000004"/>
    <n v="-414856.00000000006"/>
    <x v="0"/>
    <x v="6"/>
  </r>
  <r>
    <s v="C0024"/>
    <x v="21"/>
    <x v="4"/>
    <x v="1"/>
    <n v="9908.2099999999991"/>
    <x v="23"/>
    <x v="23"/>
    <n v="4771"/>
    <n v="266"/>
    <n v="6905.75"/>
    <n v="3.5626278767604054E-2"/>
    <n v="2.1425361559421505"/>
    <n v="38.428721804511284"/>
    <n v="0.67557454285054641"/>
    <n v="-3316.2900000000009"/>
    <n v="-1022204.0000000001"/>
    <x v="0"/>
    <x v="2"/>
  </r>
  <r>
    <s v="C0025"/>
    <x v="22"/>
    <x v="2"/>
    <x v="0"/>
    <n v="3038.65"/>
    <x v="24"/>
    <x v="24"/>
    <n v="1613"/>
    <n v="73"/>
    <n v="3008.02"/>
    <n v="1.3799062382370051E-2"/>
    <n v="1.9679417234965901"/>
    <n v="43.483424657534243"/>
    <n v="0.94761978269156255"/>
    <n v="-166.26999999999998"/>
    <n v="-317429"/>
    <x v="0"/>
    <x v="4"/>
  </r>
  <r>
    <s v="C0026"/>
    <x v="23"/>
    <x v="1"/>
    <x v="3"/>
    <n v="8103.05"/>
    <x v="25"/>
    <x v="25"/>
    <n v="7514"/>
    <n v="1465"/>
    <n v="32554.26"/>
    <n v="4.005373191611851E-2"/>
    <n v="1.112234495608198"/>
    <n v="5.7046621160409554"/>
    <n v="3.8952943105034739"/>
    <n v="24196.93"/>
    <n v="-835732.99999999977"/>
    <x v="0"/>
    <x v="2"/>
  </r>
  <r>
    <s v="C0027"/>
    <x v="24"/>
    <x v="3"/>
    <x v="3"/>
    <n v="5509.26"/>
    <x v="26"/>
    <x v="26"/>
    <n v="2973"/>
    <n v="495"/>
    <n v="22717.09"/>
    <n v="2.0392065408252853E-2"/>
    <n v="1.5468920282542886"/>
    <n v="9.2907272727272723"/>
    <n v="4.9396683127088812"/>
    <n v="18118.18"/>
    <n v="-459891"/>
    <x v="0"/>
    <x v="3"/>
  </r>
  <r>
    <s v="C0028"/>
    <x v="25"/>
    <x v="1"/>
    <x v="0"/>
    <n v="7363.09"/>
    <x v="27"/>
    <x v="27"/>
    <n v="5511"/>
    <n v="222"/>
    <n v="4863.3"/>
    <n v="3.8022105393881692E-2"/>
    <n v="1.2014879332244601"/>
    <n v="29.826126126126123"/>
    <n v="0.73448213368773985"/>
    <n v="-1758.0999999999995"/>
    <n v="-662140"/>
    <x v="0"/>
    <x v="6"/>
  </r>
  <r>
    <s v="C0029"/>
    <x v="25"/>
    <x v="3"/>
    <x v="3"/>
    <n v="5176.88"/>
    <x v="28"/>
    <x v="28"/>
    <n v="3629"/>
    <n v="513"/>
    <n v="21488.639999999999"/>
    <n v="4.4462141631952952E-2"/>
    <n v="1.2803885367869936"/>
    <n v="9.0575633528265094"/>
    <n v="4.624663996573787"/>
    <n v="16842.11"/>
    <n v="-464652.99999999988"/>
    <x v="0"/>
    <x v="6"/>
  </r>
  <r>
    <s v="C0030"/>
    <x v="26"/>
    <x v="0"/>
    <x v="1"/>
    <n v="7462.9"/>
    <x v="29"/>
    <x v="29"/>
    <n v="2259"/>
    <n v="324"/>
    <n v="11069.93"/>
    <n v="3.0658360815927689E-2"/>
    <n v="3.5222089420097387"/>
    <n v="24.557623456790125"/>
    <n v="1.3912767527118757"/>
    <n v="3113.26"/>
    <n v="-795667"/>
    <x v="0"/>
    <x v="1"/>
  </r>
  <r>
    <s v="C0031"/>
    <x v="27"/>
    <x v="0"/>
    <x v="2"/>
    <n v="3837.16"/>
    <x v="30"/>
    <x v="30"/>
    <n v="2886"/>
    <n v="227"/>
    <n v="9720.9500000000007"/>
    <n v="4.1356777438631184E-2"/>
    <n v="1.3481566181566182"/>
    <n v="17.14"/>
    <n v="2.4984578927618628"/>
    <n v="5830.17"/>
    <n v="-389078.00000000006"/>
    <x v="0"/>
    <x v="2"/>
  </r>
  <r>
    <s v="C0032"/>
    <x v="28"/>
    <x v="3"/>
    <x v="1"/>
    <n v="6928.94"/>
    <x v="31"/>
    <x v="31"/>
    <n v="2350"/>
    <n v="389"/>
    <n v="13542.59"/>
    <n v="1.5183526842537135E-2"/>
    <n v="3.0407446808510636"/>
    <n v="18.369537275064268"/>
    <n v="1.8951950460063673"/>
    <n v="6396.84"/>
    <n v="-714575"/>
    <x v="0"/>
    <x v="0"/>
  </r>
  <r>
    <s v="C0033"/>
    <x v="29"/>
    <x v="4"/>
    <x v="0"/>
    <n v="6659.13"/>
    <x v="32"/>
    <x v="32"/>
    <n v="2872"/>
    <n v="455"/>
    <n v="9446.9699999999993"/>
    <n v="4.1186846596205418E-2"/>
    <n v="2.1523050139275766"/>
    <n v="13.585538461538462"/>
    <n v="1.5282847630479726"/>
    <n v="3265.5499999999993"/>
    <n v="-618142"/>
    <x v="0"/>
    <x v="4"/>
  </r>
  <r>
    <s v="C0034"/>
    <x v="8"/>
    <x v="3"/>
    <x v="1"/>
    <n v="3755.24"/>
    <x v="33"/>
    <x v="33"/>
    <n v="7836"/>
    <n v="1477"/>
    <n v="57739.35"/>
    <n v="4.1495665619919617E-2"/>
    <n v="0.38790199081163856"/>
    <n v="2.0579553148273528"/>
    <n v="18.995706671930517"/>
    <n v="54699.75"/>
    <n v="-303959.99999999988"/>
    <x v="0"/>
    <x v="4"/>
  </r>
  <r>
    <s v="C0035"/>
    <x v="30"/>
    <x v="2"/>
    <x v="2"/>
    <n v="5200.49"/>
    <x v="34"/>
    <x v="34"/>
    <n v="6778"/>
    <n v="787"/>
    <n v="37167.64"/>
    <n v="4.6162228427433089E-2"/>
    <n v="0.73087046326349958"/>
    <n v="6.2945870393900893"/>
    <n v="7.5027937922904249"/>
    <n v="32213.8"/>
    <n v="-495384"/>
    <x v="1"/>
    <x v="5"/>
  </r>
  <r>
    <s v="C0036"/>
    <x v="31"/>
    <x v="4"/>
    <x v="0"/>
    <n v="4745.05"/>
    <x v="35"/>
    <x v="35"/>
    <n v="4726"/>
    <n v="77"/>
    <n v="3285.32"/>
    <n v="4.130180203799836E-2"/>
    <n v="0.92683664832839596"/>
    <n v="56.88610389610389"/>
    <n v="0.75003367403081589"/>
    <n v="-1094.9099999999994"/>
    <n v="-438022.99999999994"/>
    <x v="0"/>
    <x v="2"/>
  </r>
  <r>
    <s v="C0037"/>
    <x v="32"/>
    <x v="1"/>
    <x v="2"/>
    <n v="4601.59"/>
    <x v="36"/>
    <x v="36"/>
    <n v="1812"/>
    <n v="219"/>
    <n v="6283.67"/>
    <n v="2.2966943824781993E-2"/>
    <n v="2.0902538631346577"/>
    <n v="17.294703196347033"/>
    <n v="1.6590372642929183"/>
    <n v="2496.13"/>
    <n v="-378754"/>
    <x v="0"/>
    <x v="4"/>
  </r>
  <r>
    <s v="C0038"/>
    <x v="33"/>
    <x v="2"/>
    <x v="3"/>
    <n v="4128.55"/>
    <x v="37"/>
    <x v="37"/>
    <n v="5099"/>
    <n v="70"/>
    <n v="3097.05"/>
    <n v="4.4403612202067351E-2"/>
    <n v="0.87356932731908221"/>
    <n v="63.633285714285712"/>
    <n v="0.69528975176962649"/>
    <n v="-1357.2799999999997"/>
    <n v="-445433"/>
    <x v="0"/>
    <x v="2"/>
  </r>
  <r>
    <s v="C0039"/>
    <x v="34"/>
    <x v="1"/>
    <x v="2"/>
    <n v="7433.83"/>
    <x v="38"/>
    <x v="38"/>
    <n v="3682"/>
    <n v="609"/>
    <n v="26863.09"/>
    <n v="4.2536968576709799E-2"/>
    <n v="2.1430065181966325"/>
    <n v="12.95656814449918"/>
    <n v="3.4044635671784604"/>
    <n v="18972.54"/>
    <n v="-789054.99999999988"/>
    <x v="0"/>
    <x v="3"/>
  </r>
  <r>
    <s v="C0040"/>
    <x v="35"/>
    <x v="2"/>
    <x v="2"/>
    <n v="4305.99"/>
    <x v="39"/>
    <x v="39"/>
    <n v="1230"/>
    <n v="234"/>
    <n v="8466.18"/>
    <n v="1.6454189129533264E-2"/>
    <n v="3.7380487804878051"/>
    <n v="19.648717948717948"/>
    <n v="1.841354560876941"/>
    <n v="3868.38"/>
    <n v="-459780"/>
    <x v="0"/>
    <x v="2"/>
  </r>
  <r>
    <s v="C0041"/>
    <x v="32"/>
    <x v="4"/>
    <x v="3"/>
    <n v="8652.08"/>
    <x v="40"/>
    <x v="40"/>
    <n v="2754"/>
    <n v="206"/>
    <n v="6085.26"/>
    <n v="1.5512521545168812E-2"/>
    <n v="3.3578721859114014"/>
    <n v="44.891165048543691"/>
    <n v="0.65803810294152631"/>
    <n v="-3162.3199999999997"/>
    <n v="-924758"/>
    <x v="0"/>
    <x v="4"/>
  </r>
  <r>
    <s v="C0042"/>
    <x v="36"/>
    <x v="2"/>
    <x v="2"/>
    <n v="3770.36"/>
    <x v="41"/>
    <x v="41"/>
    <n v="8814"/>
    <n v="1350"/>
    <n v="44297.87"/>
    <n v="4.8967754838996423E-2"/>
    <n v="0.37146698434309056"/>
    <n v="2.4252666666666669"/>
    <n v="13.529743960954274"/>
    <n v="41023.760000000002"/>
    <n v="-327411.00000000006"/>
    <x v="0"/>
    <x v="1"/>
  </r>
  <r>
    <s v="C0043"/>
    <x v="37"/>
    <x v="2"/>
    <x v="0"/>
    <n v="8726.1"/>
    <x v="42"/>
    <x v="42"/>
    <n v="5933"/>
    <n v="149"/>
    <n v="3011.08"/>
    <n v="3.4976330698170716E-2"/>
    <n v="1.5564014832293949"/>
    <n v="61.974026845637582"/>
    <n v="0.32608161245293277"/>
    <n v="-6223.0499999999993"/>
    <n v="-923412.99999999988"/>
    <x v="1"/>
    <x v="5"/>
  </r>
  <r>
    <s v="C0044"/>
    <x v="38"/>
    <x v="3"/>
    <x v="0"/>
    <n v="6575.23"/>
    <x v="43"/>
    <x v="43"/>
    <n v="3406"/>
    <n v="219"/>
    <n v="5839.25"/>
    <n v="3.2897405683157223E-2"/>
    <n v="1.786130358191427"/>
    <n v="27.77881278538813"/>
    <n v="0.9598409483920598"/>
    <n v="-244.3100000000004"/>
    <n v="-608356"/>
    <x v="0"/>
    <x v="2"/>
  </r>
  <r>
    <s v="C0045"/>
    <x v="39"/>
    <x v="2"/>
    <x v="1"/>
    <n v="3839.06"/>
    <x v="44"/>
    <x v="44"/>
    <n v="1409"/>
    <n v="97"/>
    <n v="4683.87"/>
    <n v="8.9639596653624705E-3"/>
    <n v="2.4557061745919091"/>
    <n v="35.671030927835055"/>
    <n v="1.3536844417341745"/>
    <n v="1223.7799999999997"/>
    <n v="-346009"/>
    <x v="0"/>
    <x v="0"/>
  </r>
  <r>
    <s v="C0046"/>
    <x v="40"/>
    <x v="2"/>
    <x v="1"/>
    <n v="5262.42"/>
    <x v="45"/>
    <x v="45"/>
    <n v="4639"/>
    <n v="463"/>
    <n v="19024.93"/>
    <n v="4.0411871804029866E-2"/>
    <n v="1.0840612200905368"/>
    <n v="10.861684665226782"/>
    <n v="3.7830744328847317"/>
    <n v="13995.970000000001"/>
    <n v="-502895.99999999988"/>
    <x v="0"/>
    <x v="0"/>
  </r>
  <r>
    <s v="C0047"/>
    <x v="41"/>
    <x v="0"/>
    <x v="3"/>
    <n v="5545.41"/>
    <x v="46"/>
    <x v="46"/>
    <n v="4802"/>
    <n v="292"/>
    <n v="14271.04"/>
    <n v="2.7405703719345503E-2"/>
    <n v="1.26051853394419"/>
    <n v="20.729486301369864"/>
    <n v="2.3576765939590385"/>
    <n v="8218.0300000000007"/>
    <n v="-605301"/>
    <x v="0"/>
    <x v="1"/>
  </r>
  <r>
    <s v="C0048"/>
    <x v="42"/>
    <x v="2"/>
    <x v="2"/>
    <n v="4762.4799999999996"/>
    <x v="47"/>
    <x v="47"/>
    <n v="1424"/>
    <n v="261"/>
    <n v="7575.88"/>
    <n v="1.4230892228973457E-2"/>
    <n v="3.1744522471910113"/>
    <n v="17.319616858237548"/>
    <n v="1.6759239185739379"/>
    <n v="3055.46"/>
    <n v="-452042"/>
    <x v="0"/>
    <x v="3"/>
  </r>
  <r>
    <s v="C0049"/>
    <x v="43"/>
    <x v="1"/>
    <x v="2"/>
    <n v="4993.88"/>
    <x v="48"/>
    <x v="48"/>
    <n v="3037"/>
    <n v="504"/>
    <n v="19296.61"/>
    <n v="4.9617697033067572E-2"/>
    <n v="1.3336746789594995"/>
    <n v="8.0364484126984124"/>
    <n v="4.7641598174981548"/>
    <n v="15246.240000000002"/>
    <n v="-405036.99999999988"/>
    <x v="0"/>
    <x v="4"/>
  </r>
  <r>
    <s v="C0050"/>
    <x v="44"/>
    <x v="3"/>
    <x v="2"/>
    <n v="6518.75"/>
    <x v="49"/>
    <x v="49"/>
    <n v="2956"/>
    <n v="50"/>
    <n v="1417.97"/>
    <n v="4.5967716853792806E-2"/>
    <n v="1.7982645466847091"/>
    <n v="106.3134"/>
    <n v="0.26675282701898351"/>
    <n v="-3897.7"/>
    <n v="-531567"/>
    <x v="0"/>
    <x v="0"/>
  </r>
  <r>
    <s v="C0051"/>
    <x v="0"/>
    <x v="3"/>
    <x v="1"/>
    <n v="9357.86"/>
    <x v="50"/>
    <x v="50"/>
    <n v="1964"/>
    <n v="323"/>
    <n v="7864.03"/>
    <n v="1.2213550573676192E-2"/>
    <n v="4.1541853360488794"/>
    <n v="25.259504643962849"/>
    <n v="0.96386854961869484"/>
    <n v="-294.78999999999996"/>
    <n v="-815882"/>
    <x v="0"/>
    <x v="0"/>
  </r>
  <r>
    <s v="C0052"/>
    <x v="45"/>
    <x v="2"/>
    <x v="1"/>
    <n v="6426.17"/>
    <x v="51"/>
    <x v="51"/>
    <n v="2478"/>
    <n v="264"/>
    <n v="7197.08"/>
    <n v="1.4630517440899321E-2"/>
    <n v="2.8414527845036317"/>
    <n v="26.670909090909092"/>
    <n v="1.0221498852455291"/>
    <n v="155.96000000000004"/>
    <n v="-704112"/>
    <x v="0"/>
    <x v="3"/>
  </r>
  <r>
    <s v="C0053"/>
    <x v="46"/>
    <x v="1"/>
    <x v="1"/>
    <n v="7704.95"/>
    <x v="52"/>
    <x v="52"/>
    <n v="3060"/>
    <n v="221"/>
    <n v="5995.54"/>
    <n v="3.9465029598772197E-2"/>
    <n v="2.5896830065359477"/>
    <n v="35.857149321266967"/>
    <n v="0.7565894329308227"/>
    <n v="-1928.8900000000003"/>
    <n v="-792443"/>
    <x v="0"/>
    <x v="1"/>
  </r>
  <r>
    <s v="C0054"/>
    <x v="47"/>
    <x v="2"/>
    <x v="0"/>
    <n v="8097.51"/>
    <x v="53"/>
    <x v="53"/>
    <n v="2469"/>
    <n v="139"/>
    <n v="5416.72"/>
    <n v="2.2117512160600549E-2"/>
    <n v="2.9856014580801942"/>
    <n v="53.032014388489209"/>
    <n v="0.7348242204722274"/>
    <n v="-1954.7299999999996"/>
    <n v="-737145"/>
    <x v="0"/>
    <x v="1"/>
  </r>
  <r>
    <s v="C0055"/>
    <x v="1"/>
    <x v="0"/>
    <x v="0"/>
    <n v="7434.71"/>
    <x v="54"/>
    <x v="54"/>
    <n v="2206"/>
    <n v="152"/>
    <n v="3451.72"/>
    <n v="2.1476274849588192E-2"/>
    <n v="3.2378830462375343"/>
    <n v="46.991907894736848"/>
    <n v="0.48324669560968636"/>
    <n v="-3691.0500000000006"/>
    <n v="-714277"/>
    <x v="0"/>
    <x v="1"/>
  </r>
  <r>
    <s v="C0056"/>
    <x v="48"/>
    <x v="3"/>
    <x v="0"/>
    <n v="8847.1200000000008"/>
    <x v="55"/>
    <x v="55"/>
    <n v="2287"/>
    <n v="311"/>
    <n v="7960.22"/>
    <n v="2.8714201413738118E-2"/>
    <n v="3.4670266724967207"/>
    <n v="25.495466237942122"/>
    <n v="1.0039260495214457"/>
    <n v="31.130000000000109"/>
    <n v="-792909"/>
    <x v="0"/>
    <x v="1"/>
  </r>
  <r>
    <s v="C0057"/>
    <x v="49"/>
    <x v="1"/>
    <x v="2"/>
    <n v="3285.43"/>
    <x v="56"/>
    <x v="56"/>
    <n v="2501"/>
    <n v="402"/>
    <n v="16211.43"/>
    <n v="1.6100892920371073E-2"/>
    <n v="1.2837864854058376"/>
    <n v="7.9869402985074629"/>
    <n v="5.0491100210231252"/>
    <n v="13000.68"/>
    <n v="-321075"/>
    <x v="0"/>
    <x v="4"/>
  </r>
  <r>
    <s v="C0058"/>
    <x v="50"/>
    <x v="3"/>
    <x v="0"/>
    <n v="3116.11"/>
    <x v="57"/>
    <x v="57"/>
    <n v="3140"/>
    <n v="392"/>
    <n v="10503.59"/>
    <n v="3.8580152109007358E-2"/>
    <n v="0.94637261146496821"/>
    <n v="7.5806377551020407"/>
    <n v="3.5346462018905576"/>
    <n v="7531.98"/>
    <n v="-297161.00000000006"/>
    <x v="0"/>
    <x v="2"/>
  </r>
  <r>
    <s v="C0059"/>
    <x v="51"/>
    <x v="4"/>
    <x v="2"/>
    <n v="7516.21"/>
    <x v="58"/>
    <x v="58"/>
    <n v="3193"/>
    <n v="385"/>
    <n v="15680.33"/>
    <n v="2.175912990738911E-2"/>
    <n v="2.0063075477607266"/>
    <n v="16.639324675324676"/>
    <n v="2.4477032971492974"/>
    <n v="9274.1899999999987"/>
    <n v="-640614.00000000012"/>
    <x v="0"/>
    <x v="2"/>
  </r>
  <r>
    <s v="C0060"/>
    <x v="52"/>
    <x v="3"/>
    <x v="2"/>
    <n v="5707.15"/>
    <x v="59"/>
    <x v="59"/>
    <n v="2381"/>
    <n v="316"/>
    <n v="7623.7"/>
    <n v="1.9551971620489744E-2"/>
    <n v="2.5911549769004618"/>
    <n v="19.523860759493672"/>
    <n v="1.2356999063139229"/>
    <n v="1454.1599999999999"/>
    <n v="-616954"/>
    <x v="0"/>
    <x v="3"/>
  </r>
  <r>
    <s v="C0061"/>
    <x v="53"/>
    <x v="1"/>
    <x v="0"/>
    <n v="5387.46"/>
    <x v="60"/>
    <x v="60"/>
    <n v="3086"/>
    <n v="536"/>
    <n v="25589.07"/>
    <n v="2.1187487985060281E-2"/>
    <n v="1.456049902786779"/>
    <n v="8.3831529850746271"/>
    <n v="5.6948504129417339"/>
    <n v="21095.7"/>
    <n v="-449336.99999999988"/>
    <x v="1"/>
    <x v="5"/>
  </r>
  <r>
    <s v="C0062"/>
    <x v="54"/>
    <x v="1"/>
    <x v="1"/>
    <n v="9141.3799999999992"/>
    <x v="61"/>
    <x v="61"/>
    <n v="1900"/>
    <n v="189"/>
    <n v="7522.11"/>
    <n v="2.3634486447487904E-2"/>
    <n v="4.2213105263157891"/>
    <n v="42.436455026455022"/>
    <n v="0.93786165184421399"/>
    <n v="-498.38000000000011"/>
    <n v="-802049"/>
    <x v="0"/>
    <x v="4"/>
  </r>
  <r>
    <s v="C0063"/>
    <x v="55"/>
    <x v="2"/>
    <x v="0"/>
    <n v="8720.56"/>
    <x v="62"/>
    <x v="62"/>
    <n v="3696"/>
    <n v="599"/>
    <n v="21497.82"/>
    <n v="2.7004909983633387E-2"/>
    <n v="2.2805600649350652"/>
    <n v="14.071702838063441"/>
    <n v="2.5504742583595821"/>
    <n v="13068.869999999999"/>
    <n v="-842895.00000000012"/>
    <x v="0"/>
    <x v="3"/>
  </r>
  <r>
    <s v="C0064"/>
    <x v="11"/>
    <x v="2"/>
    <x v="1"/>
    <n v="4692.97"/>
    <x v="63"/>
    <x v="63"/>
    <n v="5567"/>
    <n v="914"/>
    <n v="42881.66"/>
    <n v="4.1039742276021203E-2"/>
    <n v="0.69794323693192017"/>
    <n v="4.2510393873085341"/>
    <n v="11.036471965924154"/>
    <n v="38996.210000000006"/>
    <n v="-388544.99999999971"/>
    <x v="0"/>
    <x v="0"/>
  </r>
  <r>
    <s v="C0065"/>
    <x v="56"/>
    <x v="3"/>
    <x v="2"/>
    <n v="9302.93"/>
    <x v="64"/>
    <x v="64"/>
    <n v="1938"/>
    <n v="231"/>
    <n v="6969.48"/>
    <n v="2.5661396679113369E-2"/>
    <n v="4.7519349845201235"/>
    <n v="39.866883116883116"/>
    <n v="0.75679126964736543"/>
    <n v="-2239.7700000000004"/>
    <n v="-920925"/>
    <x v="0"/>
    <x v="3"/>
  </r>
  <r>
    <s v="C0066"/>
    <x v="57"/>
    <x v="3"/>
    <x v="2"/>
    <n v="5444.47"/>
    <x v="65"/>
    <x v="65"/>
    <n v="2435"/>
    <n v="256"/>
    <n v="12009.81"/>
    <n v="1.3458020372181969E-2"/>
    <n v="2.2756919917864478"/>
    <n v="21.645742187500002"/>
    <n v="2.1673232502783635"/>
    <n v="6468.4999999999991"/>
    <n v="-554131"/>
    <x v="1"/>
    <x v="5"/>
  </r>
  <r>
    <s v="C0067"/>
    <x v="58"/>
    <x v="4"/>
    <x v="1"/>
    <n v="9209.6"/>
    <x v="66"/>
    <x v="66"/>
    <n v="5935"/>
    <n v="667"/>
    <n v="26187.05"/>
    <n v="4.5415936517167757E-2"/>
    <n v="1.6044448188711036"/>
    <n v="14.276431784107945"/>
    <n v="2.7500530329602473"/>
    <n v="16664.669999999998"/>
    <n v="-952238.00000000012"/>
    <x v="0"/>
    <x v="2"/>
  </r>
  <r>
    <s v="C0068"/>
    <x v="59"/>
    <x v="1"/>
    <x v="1"/>
    <n v="3588.98"/>
    <x v="67"/>
    <x v="67"/>
    <n v="4500"/>
    <n v="742"/>
    <n v="34841.82"/>
    <n v="2.7711236598538077E-2"/>
    <n v="0.67671333333333339"/>
    <n v="4.1040566037735848"/>
    <n v="11.441516348626203"/>
    <n v="31796.61"/>
    <n v="-304520.99999999988"/>
    <x v="0"/>
    <x v="1"/>
  </r>
  <r>
    <s v="C0069"/>
    <x v="28"/>
    <x v="2"/>
    <x v="0"/>
    <n v="7245"/>
    <x v="68"/>
    <x v="68"/>
    <n v="3956"/>
    <n v="181"/>
    <n v="4170.99"/>
    <n v="4.1714117001982368E-2"/>
    <n v="1.470169362992922"/>
    <n v="32.132541436464088"/>
    <n v="0.71715907351972752"/>
    <n v="-1645"/>
    <n v="-581599"/>
    <x v="0"/>
    <x v="0"/>
  </r>
  <r>
    <s v="C0070"/>
    <x v="60"/>
    <x v="1"/>
    <x v="3"/>
    <n v="7644.51"/>
    <x v="69"/>
    <x v="69"/>
    <n v="4445"/>
    <n v="80"/>
    <n v="1985.94"/>
    <n v="2.3213185298141901E-2"/>
    <n v="1.3784521934758156"/>
    <n v="76.590249999999997"/>
    <n v="0.32411762593802734"/>
    <n v="-4141.2800000000007"/>
    <n v="-612722.00000000012"/>
    <x v="0"/>
    <x v="4"/>
  </r>
  <r>
    <s v="C0071"/>
    <x v="61"/>
    <x v="4"/>
    <x v="3"/>
    <n v="6841.14"/>
    <x v="70"/>
    <x v="70"/>
    <n v="3042"/>
    <n v="323"/>
    <n v="12777.5"/>
    <n v="2.1982310093652445E-2"/>
    <n v="2.2659171597633136"/>
    <n v="21.34030959752322"/>
    <n v="1.8537136656163136"/>
    <n v="5884.58"/>
    <n v="-689292"/>
    <x v="0"/>
    <x v="3"/>
  </r>
  <r>
    <s v="C0072"/>
    <x v="39"/>
    <x v="3"/>
    <x v="2"/>
    <n v="4569.8900000000003"/>
    <x v="71"/>
    <x v="71"/>
    <n v="1306"/>
    <n v="139"/>
    <n v="3769.33"/>
    <n v="1.800683873814251E-2"/>
    <n v="3.5469295558958653"/>
    <n v="33.325827338129493"/>
    <n v="0.81370769101243656"/>
    <n v="-862.96"/>
    <n v="-463229"/>
    <x v="0"/>
    <x v="0"/>
  </r>
  <r>
    <s v="C0073"/>
    <x v="62"/>
    <x v="4"/>
    <x v="3"/>
    <n v="5277.8"/>
    <x v="72"/>
    <x v="72"/>
    <n v="6365"/>
    <n v="651"/>
    <n v="25707.33"/>
    <n v="3.6753454478262629E-2"/>
    <n v="0.84904791830322068"/>
    <n v="8.3013671274961585"/>
    <n v="4.7569256447312185"/>
    <n v="20303.140000000003"/>
    <n v="-540418.99999999988"/>
    <x v="0"/>
    <x v="4"/>
  </r>
  <r>
    <s v="C0074"/>
    <x v="1"/>
    <x v="1"/>
    <x v="2"/>
    <n v="8944.56"/>
    <x v="73"/>
    <x v="73"/>
    <n v="2586"/>
    <n v="314"/>
    <n v="11633.47"/>
    <n v="2.4009135726819487E-2"/>
    <n v="3.449447022428461"/>
    <n v="28.408503184713378"/>
    <n v="1.3041611969144431"/>
    <n v="2713.1999999999989"/>
    <n v="-892027"/>
    <x v="0"/>
    <x v="1"/>
  </r>
  <r>
    <s v="C0075"/>
    <x v="58"/>
    <x v="2"/>
    <x v="1"/>
    <n v="3655.72"/>
    <x v="74"/>
    <x v="74"/>
    <n v="2750"/>
    <n v="491"/>
    <n v="13726.43"/>
    <n v="3.1801834098504733E-2"/>
    <n v="1.2101309090909091"/>
    <n v="6.7777189409368637"/>
    <n v="4.1247017602903968"/>
    <n v="10398.57"/>
    <n v="-332786.00000000006"/>
    <x v="0"/>
    <x v="2"/>
  </r>
  <r>
    <s v="C0076"/>
    <x v="63"/>
    <x v="4"/>
    <x v="2"/>
    <n v="4707.93"/>
    <x v="75"/>
    <x v="75"/>
    <n v="2004"/>
    <n v="320"/>
    <n v="10173.74"/>
    <n v="2.1138571564191008E-2"/>
    <n v="2.5651696606786429"/>
    <n v="16.064375000000002"/>
    <n v="1.9790958253900321"/>
    <n v="5033.1399999999994"/>
    <n v="-514060.00000000006"/>
    <x v="0"/>
    <x v="6"/>
  </r>
  <r>
    <s v="C0077"/>
    <x v="64"/>
    <x v="2"/>
    <x v="0"/>
    <n v="9244.33"/>
    <x v="76"/>
    <x v="76"/>
    <n v="2028"/>
    <n v="320"/>
    <n v="14030.19"/>
    <n v="3.6709868945043807E-2"/>
    <n v="4.5097633136094668"/>
    <n v="28.580624999999998"/>
    <n v="1.5340582562487701"/>
    <n v="4884.3900000000012"/>
    <n v="-914579.99999999988"/>
    <x v="1"/>
    <x v="5"/>
  </r>
  <r>
    <s v="C0078"/>
    <x v="65"/>
    <x v="0"/>
    <x v="3"/>
    <n v="6518.46"/>
    <x v="77"/>
    <x v="77"/>
    <n v="2193"/>
    <n v="165"/>
    <n v="5737.96"/>
    <n v="2.1144890225911893E-2"/>
    <n v="2.8923529411764708"/>
    <n v="38.442"/>
    <n v="0.9046229423941301"/>
    <n v="-604.97000000000025"/>
    <n v="-634293"/>
    <x v="0"/>
    <x v="4"/>
  </r>
  <r>
    <s v="C0079"/>
    <x v="15"/>
    <x v="0"/>
    <x v="0"/>
    <n v="4366.7"/>
    <x v="78"/>
    <x v="78"/>
    <n v="4636"/>
    <n v="797"/>
    <n v="22653.27"/>
    <n v="4.182831982965516E-2"/>
    <n v="0.95767471958584982"/>
    <n v="5.5706148055207025"/>
    <n v="5.1023406565190168"/>
    <n v="18213.490000000002"/>
    <n v="-443977.99999999988"/>
    <x v="0"/>
    <x v="3"/>
  </r>
  <r>
    <s v="C0080"/>
    <x v="66"/>
    <x v="1"/>
    <x v="3"/>
    <n v="3170.21"/>
    <x v="79"/>
    <x v="79"/>
    <n v="2941"/>
    <n v="274"/>
    <n v="6935.85"/>
    <n v="2.3962194972909114E-2"/>
    <n v="1.0710812648758927"/>
    <n v="11.496532846715329"/>
    <n v="2.2018221932985189"/>
    <n v="3785.8"/>
    <n v="-315005"/>
    <x v="0"/>
    <x v="3"/>
  </r>
  <r>
    <s v="C0081"/>
    <x v="36"/>
    <x v="3"/>
    <x v="3"/>
    <n v="9583.2099999999991"/>
    <x v="80"/>
    <x v="80"/>
    <n v="8592"/>
    <n v="165"/>
    <n v="7828.58"/>
    <n v="4.5700182970937406E-2"/>
    <n v="1.2114851024208566"/>
    <n v="63.085333333333331"/>
    <n v="0.75209144323994048"/>
    <n v="-2580.5"/>
    <n v="-1040908"/>
    <x v="0"/>
    <x v="1"/>
  </r>
  <r>
    <s v="C0082"/>
    <x v="67"/>
    <x v="0"/>
    <x v="3"/>
    <n v="5591.11"/>
    <x v="81"/>
    <x v="81"/>
    <n v="4226"/>
    <n v="835"/>
    <n v="39954.379999999997"/>
    <n v="3.0210962018258115E-2"/>
    <n v="1.0645551348793185"/>
    <n v="5.387796407185629"/>
    <n v="8.8810996685790222"/>
    <n v="35455.57"/>
    <n v="-449880.99999999977"/>
    <x v="0"/>
    <x v="4"/>
  </r>
  <r>
    <s v="C0083"/>
    <x v="32"/>
    <x v="3"/>
    <x v="3"/>
    <n v="5997.29"/>
    <x v="82"/>
    <x v="82"/>
    <n v="4027"/>
    <n v="453"/>
    <n v="22155.599999999999"/>
    <n v="2.9112597144406289E-2"/>
    <n v="1.6232977402532904"/>
    <n v="14.430507726269317"/>
    <n v="3.3892507595203925"/>
    <n v="15618.579999999998"/>
    <n v="-653702"/>
    <x v="0"/>
    <x v="4"/>
  </r>
  <r>
    <s v="C0084"/>
    <x v="38"/>
    <x v="0"/>
    <x v="3"/>
    <n v="8971.07"/>
    <x v="83"/>
    <x v="83"/>
    <n v="3537"/>
    <n v="673"/>
    <n v="21235.119999999999"/>
    <n v="4.2995721093066229E-2"/>
    <n v="2.2531269437376307"/>
    <n v="11.841471025260031"/>
    <n v="2.6646121182385927"/>
    <n v="13265.809999999998"/>
    <n v="-796931.00000000012"/>
    <x v="0"/>
    <x v="2"/>
  </r>
  <r>
    <s v="C0085"/>
    <x v="37"/>
    <x v="1"/>
    <x v="0"/>
    <n v="8957.9599999999991"/>
    <x v="84"/>
    <x v="84"/>
    <n v="1251"/>
    <n v="146"/>
    <n v="3662.38"/>
    <n v="1.4102766441954321E-2"/>
    <n v="6.4093205435651486"/>
    <n v="54.918219178082197"/>
    <n v="0.45676634996495413"/>
    <n v="-4355.68"/>
    <n v="-801806"/>
    <x v="1"/>
    <x v="5"/>
  </r>
  <r>
    <s v="C0086"/>
    <x v="43"/>
    <x v="0"/>
    <x v="2"/>
    <n v="6897.61"/>
    <x v="85"/>
    <x v="85"/>
    <n v="1695"/>
    <n v="122"/>
    <n v="4987.47"/>
    <n v="1.1957250185178653E-2"/>
    <n v="4.3983834808259585"/>
    <n v="61.108688524590164"/>
    <n v="0.66898672883306554"/>
    <n v="-2467.79"/>
    <n v="-745526"/>
    <x v="0"/>
    <x v="4"/>
  </r>
  <r>
    <s v="C0087"/>
    <x v="68"/>
    <x v="2"/>
    <x v="2"/>
    <n v="6990.43"/>
    <x v="86"/>
    <x v="86"/>
    <n v="4253"/>
    <n v="420"/>
    <n v="16149.09"/>
    <n v="4.3542359866905557E-2"/>
    <n v="1.3628356454267576"/>
    <n v="13.800333333333334"/>
    <n v="2.7861801129717363"/>
    <n v="10352.950000000001"/>
    <n v="-579614"/>
    <x v="1"/>
    <x v="5"/>
  </r>
  <r>
    <s v="C0088"/>
    <x v="21"/>
    <x v="4"/>
    <x v="2"/>
    <n v="9930.3799999999992"/>
    <x v="87"/>
    <x v="87"/>
    <n v="1655"/>
    <n v="74"/>
    <n v="2630.69"/>
    <n v="1.0611219039925112E-2"/>
    <n v="5.0523444108761328"/>
    <n v="112.99499999999999"/>
    <n v="0.31461449502070771"/>
    <n v="-5730.9399999999987"/>
    <n v="-836162.99999999988"/>
    <x v="0"/>
    <x v="2"/>
  </r>
  <r>
    <s v="C0089"/>
    <x v="53"/>
    <x v="2"/>
    <x v="1"/>
    <n v="9141.61"/>
    <x v="88"/>
    <x v="88"/>
    <n v="2086"/>
    <n v="249"/>
    <n v="10186.709999999999"/>
    <n v="1.3526219207750018E-2"/>
    <n v="4.4797842761265576"/>
    <n v="37.529437751004018"/>
    <n v="1.0900904564341993"/>
    <n v="841.8799999999992"/>
    <n v="-934483"/>
    <x v="1"/>
    <x v="5"/>
  </r>
  <r>
    <s v="C0090"/>
    <x v="19"/>
    <x v="1"/>
    <x v="0"/>
    <n v="7917.39"/>
    <x v="89"/>
    <x v="89"/>
    <n v="1394"/>
    <n v="197"/>
    <n v="5675.13"/>
    <n v="1.0415265761121322E-2"/>
    <n v="5.1562266857962697"/>
    <n v="36.486192893401011"/>
    <n v="0.78955254612689874"/>
    <n v="-1512.6499999999996"/>
    <n v="-718778"/>
    <x v="0"/>
    <x v="0"/>
  </r>
  <r>
    <s v="C0091"/>
    <x v="41"/>
    <x v="3"/>
    <x v="2"/>
    <n v="8665.5300000000007"/>
    <x v="90"/>
    <x v="90"/>
    <n v="6045"/>
    <n v="748"/>
    <n v="34417.1"/>
    <n v="4.7918004328077808E-2"/>
    <n v="1.4951927212572376"/>
    <n v="12.083475935828877"/>
    <n v="3.8078584357477614"/>
    <n v="25378.659999999996"/>
    <n v="-903844.00000000023"/>
    <x v="0"/>
    <x v="1"/>
  </r>
  <r>
    <s v="C0092"/>
    <x v="37"/>
    <x v="0"/>
    <x v="1"/>
    <n v="9392.68"/>
    <x v="91"/>
    <x v="91"/>
    <n v="1255"/>
    <n v="90"/>
    <n v="3154.09"/>
    <n v="1.5050488091526155E-2"/>
    <n v="7.1354661354581674"/>
    <n v="99.50011111111111"/>
    <n v="0.35221512873799138"/>
    <n v="-5800.92"/>
    <n v="-895501"/>
    <x v="1"/>
    <x v="5"/>
  </r>
  <r>
    <s v="C0093"/>
    <x v="69"/>
    <x v="3"/>
    <x v="2"/>
    <n v="8588.07"/>
    <x v="92"/>
    <x v="92"/>
    <n v="6053"/>
    <n v="403"/>
    <n v="16546.78"/>
    <n v="4.3866769092516633E-2"/>
    <n v="1.4117032876259707"/>
    <n v="21.203573200992558"/>
    <n v="1.9364192560830606"/>
    <n v="8001.739999999998"/>
    <n v="-854504.00000000012"/>
    <x v="0"/>
    <x v="0"/>
  </r>
  <r>
    <s v="C0094"/>
    <x v="70"/>
    <x v="1"/>
    <x v="3"/>
    <n v="8570.5499999999993"/>
    <x v="93"/>
    <x v="93"/>
    <n v="2013"/>
    <n v="80"/>
    <n v="2411.19"/>
    <n v="1.948353626667183E-2"/>
    <n v="4.5428663686040736"/>
    <n v="114.30987500000001"/>
    <n v="0.26366816515196084"/>
    <n v="-6733.6"/>
    <n v="-914479.00000000012"/>
    <x v="0"/>
    <x v="2"/>
  </r>
  <r>
    <s v="C0095"/>
    <x v="71"/>
    <x v="3"/>
    <x v="1"/>
    <n v="5629.08"/>
    <x v="94"/>
    <x v="94"/>
    <n v="2665"/>
    <n v="80"/>
    <n v="2987.87"/>
    <n v="1.6342574706722839E-2"/>
    <n v="1.7493320825515948"/>
    <n v="58.274625"/>
    <n v="0.64090288011291363"/>
    <n v="-1674.1000000000004"/>
    <n v="-466197"/>
    <x v="0"/>
    <x v="0"/>
  </r>
  <r>
    <s v="C0096"/>
    <x v="72"/>
    <x v="1"/>
    <x v="2"/>
    <n v="3251.6"/>
    <x v="95"/>
    <x v="95"/>
    <n v="4194"/>
    <n v="366"/>
    <n v="13278.24"/>
    <n v="3.616358980107439E-2"/>
    <n v="0.72853123509775874"/>
    <n v="8.348251366120218"/>
    <n v="4.3457417213774683"/>
    <n v="10222.779999999999"/>
    <n v="-305546.00000000012"/>
    <x v="0"/>
    <x v="6"/>
  </r>
  <r>
    <s v="C0097"/>
    <x v="73"/>
    <x v="4"/>
    <x v="1"/>
    <n v="5005.79"/>
    <x v="96"/>
    <x v="96"/>
    <n v="2713"/>
    <n v="76"/>
    <n v="1589.54"/>
    <n v="4.6651190783251653E-2"/>
    <n v="1.8031367489863619"/>
    <n v="64.367236842105257"/>
    <n v="0.32493238837182203"/>
    <n v="-3302.37"/>
    <n v="-489191"/>
    <x v="0"/>
    <x v="3"/>
  </r>
  <r>
    <s v="C0098"/>
    <x v="74"/>
    <x v="1"/>
    <x v="3"/>
    <n v="3261.44"/>
    <x v="97"/>
    <x v="97"/>
    <n v="4154"/>
    <n v="712"/>
    <n v="21933.67"/>
    <n v="3.4302229562345167E-2"/>
    <n v="0.82186085700529621"/>
    <n v="4.7949578651685396"/>
    <n v="6.4246062548147185"/>
    <n v="18519.659999999996"/>
    <n v="-341401.00000000023"/>
    <x v="0"/>
    <x v="1"/>
  </r>
  <r>
    <s v="C0099"/>
    <x v="4"/>
    <x v="3"/>
    <x v="3"/>
    <n v="3889.42"/>
    <x v="98"/>
    <x v="98"/>
    <n v="3017"/>
    <n v="425"/>
    <n v="18317.419999999998"/>
    <n v="2.3255993216680797E-2"/>
    <n v="1.2333112363274776"/>
    <n v="8.7550588235294118"/>
    <n v="4.9228466231288124"/>
    <n v="14596.519999999999"/>
    <n v="-372089.99999999994"/>
    <x v="0"/>
    <x v="0"/>
  </r>
  <r>
    <s v="C0100"/>
    <x v="75"/>
    <x v="0"/>
    <x v="0"/>
    <n v="4510.75"/>
    <x v="99"/>
    <x v="99"/>
    <n v="1434"/>
    <n v="154"/>
    <n v="3474.31"/>
    <n v="2.7803090524846346E-2"/>
    <n v="3.1042608089260812"/>
    <n v="28.905909090909091"/>
    <n v="0.78047898353592371"/>
    <n v="-977.20000000000027"/>
    <n v="-445151"/>
    <x v="0"/>
    <x v="3"/>
  </r>
  <r>
    <s v="C0101"/>
    <x v="60"/>
    <x v="0"/>
    <x v="0"/>
    <n v="3361.77"/>
    <x v="100"/>
    <x v="100"/>
    <n v="4755"/>
    <n v="277"/>
    <n v="10032.68"/>
    <n v="3.2217411630790498E-2"/>
    <n v="0.67829652996845424"/>
    <n v="11.643682310469314"/>
    <n v="3.1106191672092516"/>
    <n v="6807.38"/>
    <n v="-322530"/>
    <x v="0"/>
    <x v="4"/>
  </r>
  <r>
    <s v="C0102"/>
    <x v="74"/>
    <x v="3"/>
    <x v="2"/>
    <n v="7462.01"/>
    <x v="101"/>
    <x v="101"/>
    <n v="2389"/>
    <n v="268"/>
    <n v="13205.85"/>
    <n v="1.2598217581606286E-2"/>
    <n v="3.1791712013394724"/>
    <n v="28.339701492537312"/>
    <n v="1.7387466030461987"/>
    <n v="5610.81"/>
    <n v="-759504"/>
    <x v="0"/>
    <x v="1"/>
  </r>
  <r>
    <s v="C0103"/>
    <x v="76"/>
    <x v="4"/>
    <x v="0"/>
    <n v="6614.1"/>
    <x v="102"/>
    <x v="102"/>
    <n v="4515"/>
    <n v="649"/>
    <n v="28462.28"/>
    <n v="2.5688292624643692E-2"/>
    <n v="1.3138648947951275"/>
    <n v="9.1403697996918343"/>
    <n v="4.7980108224743336"/>
    <n v="22530.18"/>
    <n v="-593209.99999999988"/>
    <x v="0"/>
    <x v="4"/>
  </r>
  <r>
    <s v="C0104"/>
    <x v="8"/>
    <x v="3"/>
    <x v="0"/>
    <n v="4895.83"/>
    <x v="103"/>
    <x v="103"/>
    <n v="4739"/>
    <n v="583"/>
    <n v="13032.2"/>
    <n v="3.1253915807662125E-2"/>
    <n v="0.96252373918548206"/>
    <n v="7.8240137221269288"/>
    <n v="2.8570614285087914"/>
    <n v="8470.8000000000011"/>
    <n v="-456139.99999999994"/>
    <x v="0"/>
    <x v="4"/>
  </r>
  <r>
    <s v="C0105"/>
    <x v="11"/>
    <x v="2"/>
    <x v="3"/>
    <n v="3177.46"/>
    <x v="104"/>
    <x v="104"/>
    <n v="2467"/>
    <n v="288"/>
    <n v="12982.87"/>
    <n v="2.0438766549021558E-2"/>
    <n v="1.4023510336441021"/>
    <n v="12.012499999999999"/>
    <n v="3.7527084055960231"/>
    <n v="9523.27"/>
    <n v="-345960.00000000006"/>
    <x v="0"/>
    <x v="0"/>
  </r>
  <r>
    <s v="C0106"/>
    <x v="77"/>
    <x v="0"/>
    <x v="3"/>
    <n v="7871.82"/>
    <x v="105"/>
    <x v="105"/>
    <n v="2054"/>
    <n v="402"/>
    <n v="10129.93"/>
    <n v="1.166535095441199E-2"/>
    <n v="3.5361343719571567"/>
    <n v="18.06771144278607"/>
    <n v="1.3946885816483598"/>
    <n v="2866.71"/>
    <n v="-726322"/>
    <x v="0"/>
    <x v="2"/>
  </r>
  <r>
    <s v="C0107"/>
    <x v="78"/>
    <x v="4"/>
    <x v="1"/>
    <n v="4095.06"/>
    <x v="106"/>
    <x v="106"/>
    <n v="4062"/>
    <n v="556"/>
    <n v="20281.099999999999"/>
    <n v="3.0163291675020607E-2"/>
    <n v="0.88219596258000987"/>
    <n v="6.445107913669065"/>
    <n v="5.6596102113029785"/>
    <n v="16697.62"/>
    <n v="-358347.99999999994"/>
    <x v="0"/>
    <x v="2"/>
  </r>
  <r>
    <s v="C0108"/>
    <x v="79"/>
    <x v="3"/>
    <x v="2"/>
    <n v="8002.17"/>
    <x v="107"/>
    <x v="107"/>
    <n v="2018"/>
    <n v="385"/>
    <n v="10933.24"/>
    <n v="1.1305828832664769E-2"/>
    <n v="3.9577006937561943"/>
    <n v="20.744519480519482"/>
    <n v="1.368941131689922"/>
    <n v="2946.5999999999995"/>
    <n v="-798664"/>
    <x v="0"/>
    <x v="4"/>
  </r>
  <r>
    <s v="C0109"/>
    <x v="80"/>
    <x v="2"/>
    <x v="2"/>
    <n v="9684.06"/>
    <x v="108"/>
    <x v="108"/>
    <n v="2588"/>
    <n v="340"/>
    <n v="12454.41"/>
    <n v="1.7748882122184732E-2"/>
    <n v="3.821870170015456"/>
    <n v="29.091176470588234"/>
    <n v="1.2591659084015772"/>
    <n v="2563.41"/>
    <n v="-989100"/>
    <x v="0"/>
    <x v="2"/>
  </r>
  <r>
    <s v="C0110"/>
    <x v="20"/>
    <x v="2"/>
    <x v="0"/>
    <n v="7282.05"/>
    <x v="109"/>
    <x v="109"/>
    <n v="2426"/>
    <n v="475"/>
    <n v="13030.17"/>
    <n v="1.3019980786673036E-2"/>
    <n v="2.7791838417147567"/>
    <n v="14.194315789473684"/>
    <n v="1.9326001512836866"/>
    <n v="6287.87"/>
    <n v="-674230"/>
    <x v="0"/>
    <x v="6"/>
  </r>
  <r>
    <s v="C0111"/>
    <x v="81"/>
    <x v="3"/>
    <x v="2"/>
    <n v="5491.81"/>
    <x v="110"/>
    <x v="110"/>
    <n v="1463"/>
    <n v="163"/>
    <n v="3330.38"/>
    <n v="9.8929559178539787E-3"/>
    <n v="3.85647983595352"/>
    <n v="34.613680981595088"/>
    <n v="0.59028044870374674"/>
    <n v="-2311.6499999999996"/>
    <n v="-564203"/>
    <x v="1"/>
    <x v="5"/>
  </r>
  <r>
    <s v="C0112"/>
    <x v="3"/>
    <x v="2"/>
    <x v="0"/>
    <n v="3812.51"/>
    <x v="111"/>
    <x v="111"/>
    <n v="3192"/>
    <n v="339"/>
    <n v="7194.21"/>
    <n v="2.3791777227870368E-2"/>
    <n v="0.97199874686716792"/>
    <n v="9.1522713864306784"/>
    <n v="2.318753182793897"/>
    <n v="4091.59"/>
    <n v="-310262"/>
    <x v="0"/>
    <x v="0"/>
  </r>
  <r>
    <s v="C0113"/>
    <x v="68"/>
    <x v="0"/>
    <x v="0"/>
    <n v="8988.2199999999993"/>
    <x v="112"/>
    <x v="112"/>
    <n v="5551"/>
    <n v="393"/>
    <n v="13450.51"/>
    <n v="4.345205479452055E-2"/>
    <n v="1.6371770852098719"/>
    <n v="23.124605597964376"/>
    <n v="1.4800345951846232"/>
    <n v="4362.5400000000009"/>
    <n v="-908796.99999999988"/>
    <x v="1"/>
    <x v="5"/>
  </r>
  <r>
    <s v="C0114"/>
    <x v="68"/>
    <x v="3"/>
    <x v="3"/>
    <n v="3684.84"/>
    <x v="113"/>
    <x v="113"/>
    <n v="2036"/>
    <n v="382"/>
    <n v="13065.99"/>
    <n v="2.0533922322067914E-2"/>
    <n v="1.7147986247544205"/>
    <n v="9.1396073298429314"/>
    <n v="3.7424104854024112"/>
    <n v="9574.66"/>
    <n v="-349133"/>
    <x v="1"/>
    <x v="5"/>
  </r>
  <r>
    <s v="C0115"/>
    <x v="10"/>
    <x v="3"/>
    <x v="3"/>
    <n v="4212.41"/>
    <x v="114"/>
    <x v="114"/>
    <n v="1892"/>
    <n v="232"/>
    <n v="7413.59"/>
    <n v="1.1019861378065118E-2"/>
    <n v="2.0709302325581396"/>
    <n v="16.888793103448275"/>
    <n v="1.8920907559593692"/>
    <n v="3495.3900000000003"/>
    <n v="-391820"/>
    <x v="0"/>
    <x v="2"/>
  </r>
  <r>
    <s v="C0116"/>
    <x v="46"/>
    <x v="2"/>
    <x v="3"/>
    <n v="7310.95"/>
    <x v="115"/>
    <x v="115"/>
    <n v="8710"/>
    <n v="965"/>
    <n v="20611.55"/>
    <n v="4.436995680169533E-2"/>
    <n v="0.83142365097588977"/>
    <n v="7.5043523316062171"/>
    <n v="2.846230857395363"/>
    <n v="13369.849999999999"/>
    <n v="-724170.00000000012"/>
    <x v="0"/>
    <x v="1"/>
  </r>
  <r>
    <s v="C0117"/>
    <x v="82"/>
    <x v="3"/>
    <x v="3"/>
    <n v="5622.29"/>
    <x v="116"/>
    <x v="116"/>
    <n v="5858"/>
    <n v="179"/>
    <n v="6281.84"/>
    <n v="3.17291807718348E-2"/>
    <n v="0.94801297371116422"/>
    <n v="31.024916201117318"/>
    <n v="1.1311578727496012"/>
    <n v="728.38000000000011"/>
    <n v="-555346"/>
    <x v="0"/>
    <x v="3"/>
  </r>
  <r>
    <s v="C0118"/>
    <x v="83"/>
    <x v="0"/>
    <x v="2"/>
    <n v="8995.43"/>
    <x v="117"/>
    <x v="117"/>
    <n v="1196"/>
    <n v="210"/>
    <n v="5226.49"/>
    <n v="1.815973276647434E-2"/>
    <n v="7.5032692307692308"/>
    <n v="42.732904761904763"/>
    <n v="0.58240945139855427"/>
    <n v="-3747.42"/>
    <n v="-897391"/>
    <x v="0"/>
    <x v="3"/>
  </r>
  <r>
    <s v="C0119"/>
    <x v="84"/>
    <x v="3"/>
    <x v="0"/>
    <n v="3493.98"/>
    <x v="118"/>
    <x v="118"/>
    <n v="5922"/>
    <n v="705"/>
    <n v="14660.71"/>
    <n v="3.9501330718588037E-2"/>
    <n v="0.58570753123944608"/>
    <n v="4.9199432624113477"/>
    <n v="4.2267425098599993"/>
    <n v="11192.15"/>
    <n v="-346855.99999999994"/>
    <x v="0"/>
    <x v="4"/>
  </r>
  <r>
    <s v="C0120"/>
    <x v="40"/>
    <x v="4"/>
    <x v="0"/>
    <n v="7100.43"/>
    <x v="119"/>
    <x v="119"/>
    <n v="3473"/>
    <n v="495"/>
    <n v="18445.79"/>
    <n v="2.7936196397976173E-2"/>
    <n v="2.2122545349841634"/>
    <n v="15.521535353535354"/>
    <n v="2.4008077405650803"/>
    <n v="10762.630000000001"/>
    <n v="-768316"/>
    <x v="0"/>
    <x v="0"/>
  </r>
  <r>
    <s v="C0121"/>
    <x v="19"/>
    <x v="0"/>
    <x v="2"/>
    <n v="5717.19"/>
    <x v="120"/>
    <x v="120"/>
    <n v="2483"/>
    <n v="463"/>
    <n v="15625.13"/>
    <n v="1.6595042206077944E-2"/>
    <n v="2.2863834071687474"/>
    <n v="12.261533477321814"/>
    <n v="2.7523132449899506"/>
    <n v="9948.0399999999991"/>
    <n v="-567709"/>
    <x v="0"/>
    <x v="0"/>
  </r>
  <r>
    <s v="C0122"/>
    <x v="85"/>
    <x v="3"/>
    <x v="0"/>
    <n v="6819.32"/>
    <x v="121"/>
    <x v="121"/>
    <n v="2137"/>
    <n v="410"/>
    <n v="12949.06"/>
    <n v="4.0035220502828879E-2"/>
    <n v="3.4541413196069257"/>
    <n v="18.003658536585366"/>
    <n v="1.7542586195217773"/>
    <n v="5567.5599999999995"/>
    <n v="-738150"/>
    <x v="0"/>
    <x v="1"/>
  </r>
  <r>
    <s v="C0123"/>
    <x v="77"/>
    <x v="2"/>
    <x v="0"/>
    <n v="9728.33"/>
    <x v="122"/>
    <x v="122"/>
    <n v="4099"/>
    <n v="151"/>
    <n v="3906.93"/>
    <n v="2.4700806286382316E-2"/>
    <n v="2.5432861673578921"/>
    <n v="69.039271523178812"/>
    <n v="0.37476798405360995"/>
    <n v="-6518"/>
    <n v="-1042493"/>
    <x v="0"/>
    <x v="2"/>
  </r>
  <r>
    <s v="C0124"/>
    <x v="18"/>
    <x v="2"/>
    <x v="0"/>
    <n v="3485.53"/>
    <x v="123"/>
    <x v="123"/>
    <n v="1830"/>
    <n v="275"/>
    <n v="5650.33"/>
    <n v="2.7721812370290699E-2"/>
    <n v="1.5813114754098361"/>
    <n v="10.522909090909092"/>
    <n v="1.9525641025641025"/>
    <n v="2756.5299999999997"/>
    <n v="-289380"/>
    <x v="0"/>
    <x v="6"/>
  </r>
  <r>
    <s v="C0125"/>
    <x v="6"/>
    <x v="0"/>
    <x v="3"/>
    <n v="3661.1"/>
    <x v="124"/>
    <x v="124"/>
    <n v="7011"/>
    <n v="514"/>
    <n v="11377.73"/>
    <n v="4.2913279796298109E-2"/>
    <n v="0.52475395806589642"/>
    <n v="7.1576848249027245"/>
    <n v="3.0925728109158612"/>
    <n v="7698.6799999999994"/>
    <n v="-367905"/>
    <x v="0"/>
    <x v="3"/>
  </r>
  <r>
    <s v="C0126"/>
    <x v="21"/>
    <x v="4"/>
    <x v="2"/>
    <n v="5232.83"/>
    <x v="125"/>
    <x v="125"/>
    <n v="1738"/>
    <n v="81"/>
    <n v="1676.55"/>
    <n v="1.2447360128341021E-2"/>
    <n v="3.1718009205983893"/>
    <n v="68.056666666666672"/>
    <n v="0.30413108901623376"/>
    <n v="-3836.04"/>
    <n v="-551259"/>
    <x v="0"/>
    <x v="2"/>
  </r>
  <r>
    <s v="C0127"/>
    <x v="86"/>
    <x v="0"/>
    <x v="1"/>
    <n v="8701.2800000000007"/>
    <x v="126"/>
    <x v="126"/>
    <n v="1245"/>
    <n v="249"/>
    <n v="5862.69"/>
    <n v="1.9834315755934362E-2"/>
    <n v="6.1821445783132534"/>
    <n v="30.910722891566266"/>
    <n v="0.76170783328591074"/>
    <n v="-1834.0800000000008"/>
    <n v="-769677"/>
    <x v="0"/>
    <x v="2"/>
  </r>
  <r>
    <s v="C0128"/>
    <x v="60"/>
    <x v="3"/>
    <x v="2"/>
    <n v="7877.16"/>
    <x v="127"/>
    <x v="127"/>
    <n v="5797"/>
    <n v="480"/>
    <n v="22235.599999999999"/>
    <n v="4.4647258163894026E-2"/>
    <n v="1.3434552354666207"/>
    <n v="16.225020833333335"/>
    <n v="2.8551067602635332"/>
    <n v="14447.589999999998"/>
    <n v="-778801"/>
    <x v="0"/>
    <x v="4"/>
  </r>
  <r>
    <s v="C0129"/>
    <x v="87"/>
    <x v="3"/>
    <x v="3"/>
    <n v="8145.5"/>
    <x v="128"/>
    <x v="128"/>
    <n v="3895"/>
    <n v="231"/>
    <n v="6574.5"/>
    <n v="4.8034826790977592E-2"/>
    <n v="2.1771065468549424"/>
    <n v="36.709220779220779"/>
    <n v="0.77531035409907978"/>
    <n v="-1905.33"/>
    <n v="-847983"/>
    <x v="0"/>
    <x v="1"/>
  </r>
  <r>
    <s v="C0130"/>
    <x v="9"/>
    <x v="0"/>
    <x v="2"/>
    <n v="4242.08"/>
    <x v="129"/>
    <x v="129"/>
    <n v="6783"/>
    <n v="258"/>
    <n v="11404.9"/>
    <n v="3.4004261185612235E-2"/>
    <n v="0.64114845938375353"/>
    <n v="16.856240310077517"/>
    <n v="2.6224732174268954"/>
    <n v="7055.99"/>
    <n v="-434891"/>
    <x v="0"/>
    <x v="3"/>
  </r>
  <r>
    <s v="C0131"/>
    <x v="88"/>
    <x v="4"/>
    <x v="0"/>
    <n v="9933.5400000000009"/>
    <x v="130"/>
    <x v="130"/>
    <n v="3693"/>
    <n v="271"/>
    <n v="8444.51"/>
    <n v="1.8734495720945807E-2"/>
    <n v="2.4848253452477658"/>
    <n v="33.861476014760143"/>
    <n v="0.9202361259134787"/>
    <n v="-731.94999999999891"/>
    <n v="-917645.99999999988"/>
    <x v="0"/>
    <x v="2"/>
  </r>
  <r>
    <s v="C0132"/>
    <x v="5"/>
    <x v="1"/>
    <x v="1"/>
    <n v="8434.89"/>
    <x v="131"/>
    <x v="131"/>
    <n v="5327"/>
    <n v="212"/>
    <n v="10159.620000000001"/>
    <n v="3.827335234906562E-2"/>
    <n v="1.4286277454477192"/>
    <n v="35.89764150943396"/>
    <n v="1.3349828521871674"/>
    <n v="2549.3200000000006"/>
    <n v="-761030"/>
    <x v="0"/>
    <x v="2"/>
  </r>
  <r>
    <s v="C0133"/>
    <x v="81"/>
    <x v="1"/>
    <x v="3"/>
    <n v="9008.89"/>
    <x v="132"/>
    <x v="132"/>
    <n v="7116"/>
    <n v="119"/>
    <n v="5060.6099999999997"/>
    <n v="4.9084324883600622E-2"/>
    <n v="1.175736368746487"/>
    <n v="70.307058823529417"/>
    <n v="0.60486294214812808"/>
    <n v="-3305.9300000000012"/>
    <n v="-836654.00000000012"/>
    <x v="1"/>
    <x v="5"/>
  </r>
  <r>
    <s v="C0134"/>
    <x v="65"/>
    <x v="1"/>
    <x v="1"/>
    <n v="8281.7999999999993"/>
    <x v="133"/>
    <x v="133"/>
    <n v="3326"/>
    <n v="210"/>
    <n v="9886.08"/>
    <n v="4.3038859198488592E-2"/>
    <n v="2.0690499098015636"/>
    <n v="32.769809523809521"/>
    <n v="1.4365836149998692"/>
    <n v="3004.42"/>
    <n v="-688166"/>
    <x v="0"/>
    <x v="4"/>
  </r>
  <r>
    <s v="C0135"/>
    <x v="89"/>
    <x v="4"/>
    <x v="0"/>
    <n v="6536.77"/>
    <x v="134"/>
    <x v="134"/>
    <n v="9052"/>
    <n v="377"/>
    <n v="11159.76"/>
    <n v="4.6263454324293934E-2"/>
    <n v="0.75675209898365003"/>
    <n v="18.170079575596816"/>
    <n v="1.6291335042305828"/>
    <n v="4309.6400000000003"/>
    <n v="-685012"/>
    <x v="0"/>
    <x v="1"/>
  </r>
  <r>
    <s v="C0136"/>
    <x v="90"/>
    <x v="1"/>
    <x v="3"/>
    <n v="9268.66"/>
    <x v="135"/>
    <x v="135"/>
    <n v="4467"/>
    <n v="63"/>
    <n v="1280.48"/>
    <n v="2.656288094572657E-2"/>
    <n v="1.9022028206850234"/>
    <n v="134.87523809523807"/>
    <n v="0.15069541045575335"/>
    <n v="-7216.66"/>
    <n v="-849714"/>
    <x v="0"/>
    <x v="4"/>
  </r>
  <r>
    <s v="C0137"/>
    <x v="91"/>
    <x v="4"/>
    <x v="1"/>
    <n v="9337.67"/>
    <x v="136"/>
    <x v="136"/>
    <n v="2848"/>
    <n v="536"/>
    <n v="15854.56"/>
    <n v="1.737189145007716E-2"/>
    <n v="2.7127317415730334"/>
    <n v="14.413917910447761"/>
    <n v="2.0521417680361798"/>
    <n v="8128.7"/>
    <n v="-772586"/>
    <x v="1"/>
    <x v="5"/>
  </r>
  <r>
    <s v="C0138"/>
    <x v="92"/>
    <x v="4"/>
    <x v="2"/>
    <n v="9650.43"/>
    <x v="137"/>
    <x v="137"/>
    <n v="1770"/>
    <n v="271"/>
    <n v="10082.049999999999"/>
    <n v="1.2908307261469796E-2"/>
    <n v="5.9166497175141242"/>
    <n v="38.643800738007378"/>
    <n v="0.96271939666573403"/>
    <n v="-390.42000000000007"/>
    <n v="-1047246.9999999999"/>
    <x v="0"/>
    <x v="0"/>
  </r>
  <r>
    <s v="C0139"/>
    <x v="13"/>
    <x v="0"/>
    <x v="3"/>
    <n v="7422.86"/>
    <x v="138"/>
    <x v="138"/>
    <n v="5339"/>
    <n v="543"/>
    <n v="15636.4"/>
    <n v="3.054365299572652E-2"/>
    <n v="1.2992901292376848"/>
    <n v="12.775156537753222"/>
    <n v="2.2540871944424823"/>
    <n v="8699.49"/>
    <n v="-693691"/>
    <x v="1"/>
    <x v="5"/>
  </r>
  <r>
    <s v="C0140"/>
    <x v="93"/>
    <x v="1"/>
    <x v="2"/>
    <n v="5300.65"/>
    <x v="139"/>
    <x v="139"/>
    <n v="1712"/>
    <n v="92"/>
    <n v="3916.55"/>
    <n v="2.9125552909152773E-2"/>
    <n v="3.1016121495327105"/>
    <n v="57.716956521739128"/>
    <n v="0.73758559386511391"/>
    <n v="-1393.4099999999999"/>
    <n v="-530996"/>
    <x v="0"/>
    <x v="0"/>
  </r>
  <r>
    <s v="C0141"/>
    <x v="77"/>
    <x v="4"/>
    <x v="1"/>
    <n v="8541.0499999999993"/>
    <x v="140"/>
    <x v="140"/>
    <n v="5993"/>
    <n v="1087"/>
    <n v="24714.23"/>
    <n v="3.0237286767339895E-2"/>
    <n v="1.4777390288670116"/>
    <n v="8.1472769089236436"/>
    <n v="2.7906480173530306"/>
    <n v="15858.14"/>
    <n v="-885609"/>
    <x v="0"/>
    <x v="2"/>
  </r>
  <r>
    <s v="C0142"/>
    <x v="93"/>
    <x v="4"/>
    <x v="2"/>
    <n v="6460.94"/>
    <x v="141"/>
    <x v="141"/>
    <n v="4644"/>
    <n v="871"/>
    <n v="31779.19"/>
    <n v="4.4656422485912652E-2"/>
    <n v="1.1370198105081826"/>
    <n v="6.0623650975889776"/>
    <n v="6.0184212320465429"/>
    <n v="26498.87"/>
    <n v="-528032"/>
    <x v="0"/>
    <x v="0"/>
  </r>
  <r>
    <s v="C0143"/>
    <x v="94"/>
    <x v="2"/>
    <x v="2"/>
    <n v="6090.71"/>
    <x v="142"/>
    <x v="142"/>
    <n v="2505"/>
    <n v="453"/>
    <n v="13828.94"/>
    <n v="1.6714485887769401E-2"/>
    <n v="2.5926506986027946"/>
    <n v="14.336843267108168"/>
    <n v="2.1293014647575905"/>
    <n v="7334.35"/>
    <n v="-649459"/>
    <x v="0"/>
    <x v="0"/>
  </r>
  <r>
    <s v="C0144"/>
    <x v="95"/>
    <x v="0"/>
    <x v="2"/>
    <n v="3819.47"/>
    <x v="143"/>
    <x v="143"/>
    <n v="1539"/>
    <n v="244"/>
    <n v="10454.26"/>
    <n v="1.9971191653365517E-2"/>
    <n v="2.0918908382066279"/>
    <n v="13.194344262295083"/>
    <n v="3.2472495045691461"/>
    <n v="7234.84"/>
    <n v="-321942"/>
    <x v="0"/>
    <x v="6"/>
  </r>
  <r>
    <s v="C0145"/>
    <x v="96"/>
    <x v="4"/>
    <x v="2"/>
    <n v="7327.53"/>
    <x v="144"/>
    <x v="144"/>
    <n v="2637"/>
    <n v="111"/>
    <n v="2500.08"/>
    <n v="3.7290005090785679E-2"/>
    <n v="2.3072885855138412"/>
    <n v="54.813693693693693"/>
    <n v="0.41090540931443448"/>
    <n v="-3584.24"/>
    <n v="-608432"/>
    <x v="0"/>
    <x v="2"/>
  </r>
  <r>
    <s v="C0146"/>
    <x v="97"/>
    <x v="3"/>
    <x v="3"/>
    <n v="7906.78"/>
    <x v="145"/>
    <x v="145"/>
    <n v="1390"/>
    <n v="160"/>
    <n v="7144.93"/>
    <n v="1.7001602309282386E-2"/>
    <n v="4.674834532374101"/>
    <n v="40.612625000000001"/>
    <n v="1.0995549413513654"/>
    <n v="646.90999999999985"/>
    <n v="-649802"/>
    <x v="0"/>
    <x v="0"/>
  </r>
  <r>
    <s v="C0147"/>
    <x v="98"/>
    <x v="2"/>
    <x v="0"/>
    <n v="7943.7"/>
    <x v="146"/>
    <x v="146"/>
    <n v="2073"/>
    <n v="179"/>
    <n v="4035.58"/>
    <n v="1.6201767891894425E-2"/>
    <n v="3.1591027496382051"/>
    <n v="36.585586592178771"/>
    <n v="0.61623009946830121"/>
    <n v="-2513.2399999999998"/>
    <n v="-654882"/>
    <x v="0"/>
    <x v="2"/>
  </r>
  <r>
    <s v="C0148"/>
    <x v="99"/>
    <x v="3"/>
    <x v="2"/>
    <n v="9906.48"/>
    <x v="147"/>
    <x v="147"/>
    <n v="3053"/>
    <n v="159"/>
    <n v="4947.96"/>
    <n v="2.3411858531946873E-2"/>
    <n v="2.9602030789387488"/>
    <n v="56.839622641509436"/>
    <n v="0.54749211618257265"/>
    <n v="-4089.54"/>
    <n v="-903750"/>
    <x v="0"/>
    <x v="4"/>
  </r>
  <r>
    <s v="C0149"/>
    <x v="19"/>
    <x v="1"/>
    <x v="2"/>
    <n v="8689.6"/>
    <x v="148"/>
    <x v="148"/>
    <n v="7152"/>
    <n v="1126"/>
    <n v="55827.12"/>
    <n v="4.4121729581670231E-2"/>
    <n v="1.3172595078299778"/>
    <n v="8.3668206039076392"/>
    <n v="5.9257916323463222"/>
    <n v="46406.080000000002"/>
    <n v="-942104.00000000012"/>
    <x v="0"/>
    <x v="0"/>
  </r>
  <r>
    <s v="C0150"/>
    <x v="100"/>
    <x v="3"/>
    <x v="3"/>
    <n v="8273.65"/>
    <x v="149"/>
    <x v="149"/>
    <n v="7368"/>
    <n v="692"/>
    <n v="15573.47"/>
    <n v="4.7672349648992265E-2"/>
    <n v="1.0250855048859935"/>
    <n v="10.914494219653179"/>
    <n v="2.0619383727688825"/>
    <n v="8020.6399999999994"/>
    <n v="-755283"/>
    <x v="0"/>
    <x v="0"/>
  </r>
  <r>
    <s v="C0151"/>
    <x v="28"/>
    <x v="1"/>
    <x v="3"/>
    <n v="8440.0300000000007"/>
    <x v="150"/>
    <x v="150"/>
    <n v="2066"/>
    <n v="157"/>
    <n v="5138.09"/>
    <n v="3.6671518335759171E-2"/>
    <n v="3.9525217812197484"/>
    <n v="52.012165605095539"/>
    <n v="0.62921217598528523"/>
    <n v="-3027.8199999999997"/>
    <n v="-816591"/>
    <x v="0"/>
    <x v="0"/>
  </r>
  <r>
    <s v="C0152"/>
    <x v="14"/>
    <x v="1"/>
    <x v="3"/>
    <n v="9344.48"/>
    <x v="151"/>
    <x v="151"/>
    <n v="6718"/>
    <n v="131"/>
    <n v="4556.0200000000004"/>
    <n v="3.9872275770381271E-2"/>
    <n v="1.1591708841917239"/>
    <n v="59.445114503816797"/>
    <n v="0.58505697089238773"/>
    <n v="-3231.29"/>
    <n v="-778731"/>
    <x v="0"/>
    <x v="4"/>
  </r>
  <r>
    <s v="C0153"/>
    <x v="101"/>
    <x v="4"/>
    <x v="2"/>
    <n v="3079.48"/>
    <x v="152"/>
    <x v="152"/>
    <n v="3197"/>
    <n v="540"/>
    <n v="11712.11"/>
    <n v="4.5166850329179734E-2"/>
    <n v="0.90602126994056931"/>
    <n v="5.3639814814814821"/>
    <n v="4.0434689544458058"/>
    <n v="8815.5600000000013"/>
    <n v="-289654.99999999994"/>
    <x v="0"/>
    <x v="1"/>
  </r>
  <r>
    <s v="C0154"/>
    <x v="102"/>
    <x v="4"/>
    <x v="3"/>
    <n v="3831.73"/>
    <x v="153"/>
    <x v="153"/>
    <n v="5038"/>
    <n v="56"/>
    <n v="2210.67"/>
    <n v="2.6822126390885374E-2"/>
    <n v="0.63526796347757042"/>
    <n v="57.151428571428575"/>
    <n v="0.69073076538519229"/>
    <n v="-989.81"/>
    <n v="-320048"/>
    <x v="0"/>
    <x v="1"/>
  </r>
  <r>
    <s v="C0155"/>
    <x v="74"/>
    <x v="4"/>
    <x v="2"/>
    <n v="8222.31"/>
    <x v="154"/>
    <x v="154"/>
    <n v="2592"/>
    <n v="460"/>
    <n v="22477.98"/>
    <n v="3.3625218914185642E-2"/>
    <n v="3.0929166666666665"/>
    <n v="17.427913043478259"/>
    <n v="2.8038454054215873"/>
    <n v="14461.14"/>
    <n v="-801684"/>
    <x v="0"/>
    <x v="1"/>
  </r>
  <r>
    <s v="C0156"/>
    <x v="18"/>
    <x v="0"/>
    <x v="0"/>
    <n v="5624.09"/>
    <x v="155"/>
    <x v="155"/>
    <n v="7602"/>
    <n v="1490"/>
    <n v="68626.38"/>
    <n v="4.1910390491049526E-2"/>
    <n v="0.65526571954748747"/>
    <n v="3.3431744966442953"/>
    <n v="13.776718266005265"/>
    <n v="63645.05"/>
    <n v="-498133.00000000017"/>
    <x v="0"/>
    <x v="6"/>
  </r>
  <r>
    <s v="C0157"/>
    <x v="39"/>
    <x v="1"/>
    <x v="3"/>
    <n v="4565.17"/>
    <x v="156"/>
    <x v="156"/>
    <n v="4375"/>
    <n v="117"/>
    <n v="2382.66"/>
    <n v="2.7109254944728101E-2"/>
    <n v="1.1363017142857141"/>
    <n v="42.489914529914529"/>
    <n v="0.47928115671491678"/>
    <n v="-2588.66"/>
    <n v="-497132"/>
    <x v="0"/>
    <x v="0"/>
  </r>
  <r>
    <s v="C0158"/>
    <x v="54"/>
    <x v="2"/>
    <x v="1"/>
    <n v="9789.15"/>
    <x v="157"/>
    <x v="157"/>
    <n v="1614"/>
    <n v="62"/>
    <n v="2897.53"/>
    <n v="1.4008227881060251E-2"/>
    <n v="4.9306505576208179"/>
    <n v="128.35596774193547"/>
    <n v="0.36409958696015493"/>
    <n v="-5060.5399999999991"/>
    <n v="-795807"/>
    <x v="0"/>
    <x v="4"/>
  </r>
  <r>
    <s v="C0159"/>
    <x v="96"/>
    <x v="4"/>
    <x v="3"/>
    <n v="6693.91"/>
    <x v="158"/>
    <x v="158"/>
    <n v="1292"/>
    <n v="250"/>
    <n v="5553.47"/>
    <n v="1.486013986013986E-2"/>
    <n v="5.6882120743034053"/>
    <n v="29.39668"/>
    <n v="0.75565948263545413"/>
    <n v="-1795.6999999999998"/>
    <n v="-734917"/>
    <x v="0"/>
    <x v="2"/>
  </r>
  <r>
    <s v="C0160"/>
    <x v="103"/>
    <x v="0"/>
    <x v="2"/>
    <n v="6876.98"/>
    <x v="159"/>
    <x v="159"/>
    <n v="3074"/>
    <n v="614"/>
    <n v="21915.46"/>
    <n v="2.4225707305540231E-2"/>
    <n v="2.4402569941444372"/>
    <n v="12.217182410423453"/>
    <n v="2.9215354569510819"/>
    <n v="14414.109999999999"/>
    <n v="-750135"/>
    <x v="0"/>
    <x v="0"/>
  </r>
  <r>
    <s v="C0161"/>
    <x v="104"/>
    <x v="0"/>
    <x v="1"/>
    <n v="7405.79"/>
    <x v="160"/>
    <x v="160"/>
    <n v="5829"/>
    <n v="550"/>
    <n v="18499.93"/>
    <n v="4.8944531210640338E-2"/>
    <n v="1.281592039800995"/>
    <n v="13.582545454545453"/>
    <n v="2.4764309809381024"/>
    <n v="11029.53"/>
    <n v="-747040"/>
    <x v="0"/>
    <x v="0"/>
  </r>
  <r>
    <s v="C0162"/>
    <x v="105"/>
    <x v="0"/>
    <x v="2"/>
    <n v="7392.91"/>
    <x v="161"/>
    <x v="161"/>
    <n v="1495"/>
    <n v="104"/>
    <n v="4891.6099999999997"/>
    <n v="1.2399436012275026E-2"/>
    <n v="4.8229163879598662"/>
    <n v="69.329423076923078"/>
    <n v="0.67842352425571328"/>
    <n v="-2318.6500000000005"/>
    <n v="-721026"/>
    <x v="0"/>
    <x v="3"/>
  </r>
  <r>
    <s v="C0163"/>
    <x v="106"/>
    <x v="4"/>
    <x v="0"/>
    <n v="3318.12"/>
    <x v="162"/>
    <x v="162"/>
    <n v="3397"/>
    <n v="329"/>
    <n v="15960.56"/>
    <n v="1.9562112731209544E-2"/>
    <n v="0.86375625551957602"/>
    <n v="8.9184802431610937"/>
    <n v="5.4395299538542288"/>
    <n v="13026.38"/>
    <n v="-293418"/>
    <x v="0"/>
    <x v="3"/>
  </r>
  <r>
    <s v="C0164"/>
    <x v="60"/>
    <x v="3"/>
    <x v="3"/>
    <n v="9231.85"/>
    <x v="163"/>
    <x v="163"/>
    <n v="1838"/>
    <n v="273"/>
    <n v="10538.89"/>
    <n v="3.452032153857712E-2"/>
    <n v="4.7048150163220894"/>
    <n v="31.675641025641028"/>
    <n v="1.2187280643426672"/>
    <n v="1891.4399999999987"/>
    <n v="-864745.00000000012"/>
    <x v="0"/>
    <x v="4"/>
  </r>
  <r>
    <s v="C0165"/>
    <x v="46"/>
    <x v="0"/>
    <x v="2"/>
    <n v="4941.67"/>
    <x v="164"/>
    <x v="164"/>
    <n v="3883"/>
    <n v="619"/>
    <n v="20990.880000000001"/>
    <n v="1.9635606033789627E-2"/>
    <n v="1.0899381921194951"/>
    <n v="6.8372051696284322"/>
    <n v="4.959768254560835"/>
    <n v="16758.650000000001"/>
    <n v="-423222.99999999994"/>
    <x v="0"/>
    <x v="1"/>
  </r>
  <r>
    <s v="C0166"/>
    <x v="79"/>
    <x v="2"/>
    <x v="3"/>
    <n v="5473.47"/>
    <x v="165"/>
    <x v="165"/>
    <n v="2400"/>
    <n v="189"/>
    <n v="4220.76"/>
    <n v="2.5029200734189887E-2"/>
    <n v="2.2238166666666666"/>
    <n v="28.238941798941799"/>
    <n v="0.79082508300294541"/>
    <n v="-1116.3999999999996"/>
    <n v="-533716"/>
    <x v="0"/>
    <x v="4"/>
  </r>
  <r>
    <s v="C0167"/>
    <x v="75"/>
    <x v="3"/>
    <x v="2"/>
    <n v="9820.76"/>
    <x v="166"/>
    <x v="166"/>
    <n v="3999"/>
    <n v="83"/>
    <n v="3398.42"/>
    <n v="3.0696838970170563E-2"/>
    <n v="2.6912253063265816"/>
    <n v="129.66518072289156"/>
    <n v="0.31577343315174117"/>
    <n v="-7363.7899999999991"/>
    <n v="-1076221"/>
    <x v="0"/>
    <x v="3"/>
  </r>
  <r>
    <s v="C0168"/>
    <x v="44"/>
    <x v="1"/>
    <x v="0"/>
    <n v="6752.67"/>
    <x v="167"/>
    <x v="167"/>
    <n v="1998"/>
    <n v="204"/>
    <n v="9060.43"/>
    <n v="3.7634914954133625E-2"/>
    <n v="3.0176076076076077"/>
    <n v="29.554803921568627"/>
    <n v="1.5027632281670145"/>
    <n v="3031.25"/>
    <n v="-602918"/>
    <x v="0"/>
    <x v="0"/>
  </r>
  <r>
    <s v="C0169"/>
    <x v="88"/>
    <x v="4"/>
    <x v="1"/>
    <n v="7793.12"/>
    <x v="168"/>
    <x v="168"/>
    <n v="3132"/>
    <n v="85"/>
    <n v="4022.86"/>
    <n v="2.8464188016322375E-2"/>
    <n v="2.1119667943805878"/>
    <n v="77.819764705882363"/>
    <n v="0.60817152152485077"/>
    <n v="-2591.8200000000002"/>
    <n v="-661468"/>
    <x v="0"/>
    <x v="2"/>
  </r>
  <r>
    <s v="C0170"/>
    <x v="64"/>
    <x v="2"/>
    <x v="2"/>
    <n v="8757.76"/>
    <x v="169"/>
    <x v="169"/>
    <n v="1121"/>
    <n v="85"/>
    <n v="3550.58"/>
    <n v="1.4884153223129522E-2"/>
    <n v="8.4760392506690447"/>
    <n v="111.78399999999999"/>
    <n v="0.37368075405929924"/>
    <n v="-5951.0599999999995"/>
    <n v="-950164"/>
    <x v="1"/>
    <x v="5"/>
  </r>
  <r>
    <s v="C0171"/>
    <x v="95"/>
    <x v="1"/>
    <x v="0"/>
    <n v="7293.91"/>
    <x v="170"/>
    <x v="170"/>
    <n v="9171"/>
    <n v="1138"/>
    <n v="54603.35"/>
    <n v="4.726759198651706E-2"/>
    <n v="0.73605059426452946"/>
    <n v="5.9317398945518454"/>
    <n v="8.089001706585762"/>
    <n v="47853.03"/>
    <n v="-675032"/>
    <x v="0"/>
    <x v="6"/>
  </r>
  <r>
    <s v="C0172"/>
    <x v="65"/>
    <x v="2"/>
    <x v="3"/>
    <n v="9062.4500000000007"/>
    <x v="171"/>
    <x v="171"/>
    <n v="3813"/>
    <n v="632"/>
    <n v="13139.92"/>
    <n v="3.6260413100536348E-2"/>
    <n v="1.9336218200891686"/>
    <n v="11.665981012658227"/>
    <n v="1.7821915392857628"/>
    <n v="5767.02"/>
    <n v="-737290"/>
    <x v="0"/>
    <x v="4"/>
  </r>
  <r>
    <s v="C0173"/>
    <x v="107"/>
    <x v="3"/>
    <x v="2"/>
    <n v="5635.24"/>
    <x v="172"/>
    <x v="172"/>
    <n v="3490"/>
    <n v="132"/>
    <n v="6549.61"/>
    <n v="2.5598333541151704E-2"/>
    <n v="1.6843810888252149"/>
    <n v="44.534015151515149"/>
    <n v="1.1141653724000551"/>
    <n v="671.11999999999989"/>
    <n v="-587849"/>
    <x v="0"/>
    <x v="0"/>
  </r>
  <r>
    <s v="C0174"/>
    <x v="108"/>
    <x v="1"/>
    <x v="3"/>
    <n v="4052.92"/>
    <x v="173"/>
    <x v="173"/>
    <n v="5182"/>
    <n v="356"/>
    <n v="11187.91"/>
    <n v="2.7087068564469002E-2"/>
    <n v="0.76509648784253181"/>
    <n v="11.136882022471911"/>
    <n v="2.8218592438829377"/>
    <n v="7223.18"/>
    <n v="-396472.99999999994"/>
    <x v="0"/>
    <x v="4"/>
  </r>
  <r>
    <s v="C0175"/>
    <x v="109"/>
    <x v="4"/>
    <x v="3"/>
    <n v="9789.4"/>
    <x v="174"/>
    <x v="174"/>
    <n v="6593"/>
    <n v="869"/>
    <n v="39235.230000000003"/>
    <n v="4.5922489691296108E-2"/>
    <n v="1.5629713332322159"/>
    <n v="11.858078250863061"/>
    <n v="3.8075193092064086"/>
    <n v="28930.560000000005"/>
    <n v="-1030466.9999999998"/>
    <x v="1"/>
    <x v="5"/>
  </r>
  <r>
    <s v="C0176"/>
    <x v="110"/>
    <x v="1"/>
    <x v="0"/>
    <n v="6280.85"/>
    <x v="175"/>
    <x v="175"/>
    <n v="1173"/>
    <n v="209"/>
    <n v="5894.26"/>
    <n v="1.6826612729698327E-2"/>
    <n v="4.9499658994032396"/>
    <n v="27.781387559808614"/>
    <n v="1.0151473138705993"/>
    <n v="87.949999999999818"/>
    <n v="-580631"/>
    <x v="0"/>
    <x v="0"/>
  </r>
  <r>
    <s v="C0177"/>
    <x v="21"/>
    <x v="1"/>
    <x v="2"/>
    <n v="3394.63"/>
    <x v="176"/>
    <x v="176"/>
    <n v="3456"/>
    <n v="294"/>
    <n v="13049.79"/>
    <n v="3.0065507311938338E-2"/>
    <n v="1.0406047453703704"/>
    <n v="12.232414965986393"/>
    <n v="3.6286408644368011"/>
    <n v="9453.4600000000009"/>
    <n v="-359633"/>
    <x v="0"/>
    <x v="2"/>
  </r>
  <r>
    <s v="C0178"/>
    <x v="27"/>
    <x v="1"/>
    <x v="2"/>
    <n v="9998.02"/>
    <x v="177"/>
    <x v="177"/>
    <n v="4786"/>
    <n v="820"/>
    <n v="30063.62"/>
    <n v="3.7195927566643354E-2"/>
    <n v="2.29580651901379"/>
    <n v="13.399670731707317"/>
    <n v="2.7361083681524754"/>
    <n v="19075.89"/>
    <n v="-1098773"/>
    <x v="0"/>
    <x v="2"/>
  </r>
  <r>
    <s v="C0179"/>
    <x v="13"/>
    <x v="1"/>
    <x v="1"/>
    <n v="8382.91"/>
    <x v="178"/>
    <x v="178"/>
    <n v="3028"/>
    <n v="356"/>
    <n v="16194.23"/>
    <n v="3.2768789567664089E-2"/>
    <n v="2.9994352708058125"/>
    <n v="25.512050561797754"/>
    <n v="1.7830558152184084"/>
    <n v="7111.9399999999987"/>
    <n v="-908229.00000000012"/>
    <x v="1"/>
    <x v="5"/>
  </r>
  <r>
    <s v="C0180"/>
    <x v="108"/>
    <x v="1"/>
    <x v="0"/>
    <n v="4731.4399999999996"/>
    <x v="179"/>
    <x v="179"/>
    <n v="4258"/>
    <n v="100"/>
    <n v="2387.48"/>
    <n v="3.745305174643105E-2"/>
    <n v="1.0391427900422734"/>
    <n v="44.246700000000004"/>
    <n v="0.53958374296840217"/>
    <n v="-2037.19"/>
    <n v="-442467"/>
    <x v="0"/>
    <x v="4"/>
  </r>
  <r>
    <s v="C0181"/>
    <x v="111"/>
    <x v="4"/>
    <x v="2"/>
    <n v="9678.36"/>
    <x v="180"/>
    <x v="180"/>
    <n v="1429"/>
    <n v="157"/>
    <n v="4216.91"/>
    <n v="1.9760222354356514E-2"/>
    <n v="6.6499090272918124"/>
    <n v="60.526878980891716"/>
    <n v="0.44375820817618539"/>
    <n v="-5285.8099999999995"/>
    <n v="-950271.99999999988"/>
    <x v="0"/>
    <x v="4"/>
  </r>
  <r>
    <s v="C0182"/>
    <x v="90"/>
    <x v="2"/>
    <x v="1"/>
    <n v="7701.9"/>
    <x v="181"/>
    <x v="181"/>
    <n v="1286"/>
    <n v="233"/>
    <n v="7163.56"/>
    <n v="2.1714536582071155E-2"/>
    <n v="5.9018273716951786"/>
    <n v="32.574034334763951"/>
    <n v="0.94384663526466617"/>
    <n v="-426.1899999999996"/>
    <n v="-758975"/>
    <x v="0"/>
    <x v="4"/>
  </r>
  <r>
    <s v="C0183"/>
    <x v="112"/>
    <x v="2"/>
    <x v="3"/>
    <n v="3794.9"/>
    <x v="182"/>
    <x v="182"/>
    <n v="4679"/>
    <n v="186"/>
    <n v="6623.32"/>
    <n v="3.8022720993352729E-2"/>
    <n v="0.81224406924556525"/>
    <n v="20.432741935483868"/>
    <n v="1.7427542237974578"/>
    <n v="2822.83"/>
    <n v="-380049"/>
    <x v="0"/>
    <x v="4"/>
  </r>
  <r>
    <s v="C0184"/>
    <x v="113"/>
    <x v="2"/>
    <x v="2"/>
    <n v="8406.23"/>
    <x v="183"/>
    <x v="183"/>
    <n v="2397"/>
    <n v="50"/>
    <n v="2278.27"/>
    <n v="1.7957477412684858E-2"/>
    <n v="3.3528452231956614"/>
    <n v="160.7354"/>
    <n v="0.28348080136671822"/>
    <n v="-5758.5"/>
    <n v="-803677"/>
    <x v="0"/>
    <x v="1"/>
  </r>
  <r>
    <s v="C0185"/>
    <x v="114"/>
    <x v="0"/>
    <x v="1"/>
    <n v="6863.35"/>
    <x v="184"/>
    <x v="184"/>
    <n v="4818"/>
    <n v="159"/>
    <n v="7361.64"/>
    <n v="3.6861634979534062E-2"/>
    <n v="1.3793378995433789"/>
    <n v="41.796540880503144"/>
    <n v="1.1077381445005381"/>
    <n v="715.99000000000069"/>
    <n v="-664565"/>
    <x v="0"/>
    <x v="2"/>
  </r>
  <r>
    <s v="C0186"/>
    <x v="115"/>
    <x v="3"/>
    <x v="0"/>
    <n v="5824.38"/>
    <x v="185"/>
    <x v="185"/>
    <n v="2627"/>
    <n v="160"/>
    <n v="3338.16"/>
    <n v="1.5617104504408102E-2"/>
    <n v="1.8628359345260754"/>
    <n v="30.585437500000001"/>
    <n v="0.68213835424129532"/>
    <n v="-1555.5100000000002"/>
    <n v="-489367"/>
    <x v="0"/>
    <x v="3"/>
  </r>
  <r>
    <s v="C0187"/>
    <x v="33"/>
    <x v="0"/>
    <x v="0"/>
    <n v="8285.9599999999991"/>
    <x v="186"/>
    <x v="186"/>
    <n v="1773"/>
    <n v="177"/>
    <n v="7278.66"/>
    <n v="3.1790715604884258E-2"/>
    <n v="4.6084207557811618"/>
    <n v="46.162316384180791"/>
    <n v="0.89082126076862167"/>
    <n v="-892.06999999999971"/>
    <n v="-817073"/>
    <x v="0"/>
    <x v="2"/>
  </r>
  <r>
    <s v="C0188"/>
    <x v="15"/>
    <x v="2"/>
    <x v="1"/>
    <n v="4490.75"/>
    <x v="187"/>
    <x v="187"/>
    <n v="5263"/>
    <n v="268"/>
    <n v="5476.94"/>
    <n v="3.314774459294343E-2"/>
    <n v="0.71752232566977014"/>
    <n v="14.090746268656718"/>
    <n v="1.4503378950936359"/>
    <n v="1700.6199999999994"/>
    <n v="-377632"/>
    <x v="0"/>
    <x v="3"/>
  </r>
  <r>
    <s v="C0189"/>
    <x v="116"/>
    <x v="0"/>
    <x v="3"/>
    <n v="5454.11"/>
    <x v="188"/>
    <x v="188"/>
    <n v="1156"/>
    <n v="85"/>
    <n v="2700.22"/>
    <n v="6.9154886606325634E-3"/>
    <n v="4.6094550173010376"/>
    <n v="62.688588235294112"/>
    <n v="0.50674763959290836"/>
    <n v="-2628.31"/>
    <n v="-532853"/>
    <x v="1"/>
    <x v="5"/>
  </r>
  <r>
    <s v="C0190"/>
    <x v="117"/>
    <x v="1"/>
    <x v="2"/>
    <n v="6062.32"/>
    <x v="189"/>
    <x v="189"/>
    <n v="1126"/>
    <n v="180"/>
    <n v="5480.58"/>
    <n v="2.0730921476571851E-2"/>
    <n v="5.767539964476021"/>
    <n v="36.079166666666666"/>
    <n v="0.84391269199676633"/>
    <n v="-1013.6700000000001"/>
    <n v="-649425"/>
    <x v="0"/>
    <x v="0"/>
  </r>
  <r>
    <s v="C0191"/>
    <x v="22"/>
    <x v="3"/>
    <x v="0"/>
    <n v="6597.93"/>
    <x v="190"/>
    <x v="190"/>
    <n v="3364"/>
    <n v="62"/>
    <n v="1977.57"/>
    <n v="2.9909134555541724E-2"/>
    <n v="2.0301694411414983"/>
    <n v="110.15306451612904"/>
    <n v="0.28956334953268836"/>
    <n v="-4851.92"/>
    <n v="-682949"/>
    <x v="0"/>
    <x v="4"/>
  </r>
  <r>
    <s v="C0192"/>
    <x v="85"/>
    <x v="1"/>
    <x v="3"/>
    <n v="7354.61"/>
    <x v="191"/>
    <x v="191"/>
    <n v="3059"/>
    <n v="504"/>
    <n v="24436.75"/>
    <n v="4.0130137615280677E-2"/>
    <n v="2.5454037267080745"/>
    <n v="15.449186507936508"/>
    <n v="3.138392759674252"/>
    <n v="16650.36"/>
    <n v="-778639"/>
    <x v="0"/>
    <x v="1"/>
  </r>
  <r>
    <s v="C0193"/>
    <x v="52"/>
    <x v="2"/>
    <x v="3"/>
    <n v="4029.51"/>
    <x v="192"/>
    <x v="192"/>
    <n v="1887"/>
    <n v="171"/>
    <n v="5944.56"/>
    <n v="2.2051347971907026E-2"/>
    <n v="2.3019183889772128"/>
    <n v="25.401871345029242"/>
    <n v="1.368541250356837"/>
    <n v="1600.8400000000001"/>
    <n v="-434372"/>
    <x v="0"/>
    <x v="3"/>
  </r>
  <r>
    <s v="C0194"/>
    <x v="118"/>
    <x v="4"/>
    <x v="1"/>
    <n v="4807.71"/>
    <x v="193"/>
    <x v="193"/>
    <n v="6524"/>
    <n v="641"/>
    <n v="31666.03"/>
    <n v="4.1762954901898026E-2"/>
    <n v="0.69104690374003686"/>
    <n v="7.0333697347893924"/>
    <n v="7.0238000705351569"/>
    <n v="27157.64"/>
    <n v="-450838.99999999994"/>
    <x v="1"/>
    <x v="5"/>
  </r>
  <r>
    <s v="C0195"/>
    <x v="119"/>
    <x v="1"/>
    <x v="3"/>
    <n v="6448.33"/>
    <x v="194"/>
    <x v="194"/>
    <n v="2401"/>
    <n v="165"/>
    <n v="6435.33"/>
    <n v="2.8871012349241849E-2"/>
    <n v="2.4134235735110372"/>
    <n v="35.1189696969697"/>
    <n v="1.1105678878547898"/>
    <n v="640.69999999999982"/>
    <n v="-579463"/>
    <x v="0"/>
    <x v="6"/>
  </r>
  <r>
    <s v="C0196"/>
    <x v="120"/>
    <x v="3"/>
    <x v="3"/>
    <n v="4681.0200000000004"/>
    <x v="195"/>
    <x v="195"/>
    <n v="3701"/>
    <n v="421"/>
    <n v="10047.75"/>
    <n v="3.0238163323665183E-2"/>
    <n v="1.0406241556336124"/>
    <n v="9.1480997624703093"/>
    <n v="2.6088903890843471"/>
    <n v="6196.4"/>
    <n v="-385135.00000000006"/>
    <x v="0"/>
    <x v="2"/>
  </r>
  <r>
    <s v="C0197"/>
    <x v="87"/>
    <x v="0"/>
    <x v="2"/>
    <n v="3896.32"/>
    <x v="196"/>
    <x v="196"/>
    <n v="1344"/>
    <n v="233"/>
    <n v="5630.4"/>
    <n v="9.0274046211714139E-3"/>
    <n v="2.4513467261904762"/>
    <n v="14.139957081545065"/>
    <n v="1.7089731409787499"/>
    <n v="2335.7899999999995"/>
    <n v="-329461"/>
    <x v="0"/>
    <x v="1"/>
  </r>
  <r>
    <s v="C0198"/>
    <x v="121"/>
    <x v="3"/>
    <x v="3"/>
    <n v="7486.12"/>
    <x v="197"/>
    <x v="197"/>
    <n v="1516"/>
    <n v="269"/>
    <n v="8169.53"/>
    <n v="1.0081261886712153E-2"/>
    <n v="4.2199010554089709"/>
    <n v="23.782044609665427"/>
    <n v="1.2770138353729736"/>
    <n v="1772.1599999999999"/>
    <n v="-639737"/>
    <x v="1"/>
    <x v="5"/>
  </r>
  <r>
    <s v="C0199"/>
    <x v="42"/>
    <x v="2"/>
    <x v="2"/>
    <n v="9277.52"/>
    <x v="198"/>
    <x v="198"/>
    <n v="2934"/>
    <n v="357"/>
    <n v="14289.54"/>
    <n v="2.0771240256844101E-2"/>
    <n v="2.9792672119972732"/>
    <n v="24.485070028011204"/>
    <n v="1.6347399718801947"/>
    <n v="5548.3700000000008"/>
    <n v="-874117"/>
    <x v="0"/>
    <x v="3"/>
  </r>
  <r>
    <s v="C0200"/>
    <x v="122"/>
    <x v="4"/>
    <x v="1"/>
    <n v="4206.24"/>
    <x v="199"/>
    <x v="199"/>
    <n v="7567"/>
    <n v="1110"/>
    <n v="23560.92"/>
    <n v="4.4247580621582905E-2"/>
    <n v="0.47675961411391565"/>
    <n v="3.2501261261261258"/>
    <n v="6.5308401059972718"/>
    <n v="19953.28"/>
    <n v="-360763.99999999994"/>
    <x v="0"/>
    <x v="2"/>
  </r>
  <r>
    <s v="C0201"/>
    <x v="3"/>
    <x v="3"/>
    <x v="1"/>
    <n v="4182.55"/>
    <x v="200"/>
    <x v="200"/>
    <n v="1869"/>
    <n v="349"/>
    <n v="8833.2999999999993"/>
    <n v="1.4634375513847454E-2"/>
    <n v="1.977319422150883"/>
    <n v="10.589140401146132"/>
    <n v="2.390214335387121"/>
    <n v="5137.6899999999987"/>
    <n v="-369561.00000000006"/>
    <x v="0"/>
    <x v="0"/>
  </r>
  <r>
    <s v="C0202"/>
    <x v="95"/>
    <x v="2"/>
    <x v="1"/>
    <n v="3620.92"/>
    <x v="201"/>
    <x v="201"/>
    <n v="1371"/>
    <n v="250"/>
    <n v="8455.84"/>
    <n v="1.4371069182389937E-2"/>
    <n v="2.2084463894967179"/>
    <n v="12.111120000000001"/>
    <n v="2.7927524456862782"/>
    <n v="5428.0599999999995"/>
    <n v="-302778.00000000006"/>
    <x v="0"/>
    <x v="6"/>
  </r>
  <r>
    <s v="C0203"/>
    <x v="123"/>
    <x v="0"/>
    <x v="0"/>
    <n v="4444.34"/>
    <x v="202"/>
    <x v="202"/>
    <n v="4028"/>
    <n v="250"/>
    <n v="8775.6299999999992"/>
    <n v="2.6060739379666412E-2"/>
    <n v="1.003264647467726"/>
    <n v="16.1646"/>
    <n v="2.1715674993504321"/>
    <n v="4734.4799999999996"/>
    <n v="-404114.99999999994"/>
    <x v="1"/>
    <x v="5"/>
  </r>
  <r>
    <s v="C0204"/>
    <x v="0"/>
    <x v="2"/>
    <x v="3"/>
    <n v="7832.76"/>
    <x v="203"/>
    <x v="203"/>
    <n v="1610"/>
    <n v="112"/>
    <n v="4926.0200000000004"/>
    <n v="1.607620721332428E-2"/>
    <n v="3.9494285714285713"/>
    <n v="56.773035714285712"/>
    <n v="0.77470441513671295"/>
    <n v="-1432.5599999999995"/>
    <n v="-635858"/>
    <x v="0"/>
    <x v="0"/>
  </r>
  <r>
    <s v="C0205"/>
    <x v="90"/>
    <x v="0"/>
    <x v="1"/>
    <n v="7395.3"/>
    <x v="204"/>
    <x v="204"/>
    <n v="3804"/>
    <n v="713"/>
    <n v="32945.85"/>
    <n v="3.4626517868521181E-2"/>
    <n v="1.6029521556256572"/>
    <n v="8.552075736325385"/>
    <n v="5.4030582373807521"/>
    <n v="26848.219999999998"/>
    <n v="-609763.00000000012"/>
    <x v="0"/>
    <x v="4"/>
  </r>
  <r>
    <s v="C0206"/>
    <x v="96"/>
    <x v="4"/>
    <x v="1"/>
    <n v="9446.11"/>
    <x v="205"/>
    <x v="205"/>
    <n v="2273"/>
    <n v="434"/>
    <n v="12284.95"/>
    <n v="1.4355185044840218E-2"/>
    <n v="3.4007787065552133"/>
    <n v="17.810990783410137"/>
    <n v="1.5892623127903471"/>
    <n v="4554.9800000000005"/>
    <n v="-772997"/>
    <x v="0"/>
    <x v="2"/>
  </r>
  <r>
    <s v="C0207"/>
    <x v="51"/>
    <x v="2"/>
    <x v="3"/>
    <n v="8643.41"/>
    <x v="206"/>
    <x v="206"/>
    <n v="4773"/>
    <n v="185"/>
    <n v="4724.09"/>
    <n v="4.1858874291828177E-2"/>
    <n v="1.8552231301068509"/>
    <n v="47.864756756756755"/>
    <n v="0.53349527610451974"/>
    <n v="-4130.8899999999994"/>
    <n v="-885498"/>
    <x v="0"/>
    <x v="2"/>
  </r>
  <r>
    <s v="C0208"/>
    <x v="124"/>
    <x v="4"/>
    <x v="1"/>
    <n v="4465.45"/>
    <x v="207"/>
    <x v="207"/>
    <n v="1714"/>
    <n v="194"/>
    <n v="6699.92"/>
    <n v="9.0877278559536815E-3"/>
    <n v="2.3737806301050175"/>
    <n v="20.972474226804124"/>
    <n v="1.6467141515879922"/>
    <n v="2631.26"/>
    <n v="-406866"/>
    <x v="0"/>
    <x v="0"/>
  </r>
  <r>
    <s v="C0209"/>
    <x v="28"/>
    <x v="3"/>
    <x v="1"/>
    <n v="7327.78"/>
    <x v="208"/>
    <x v="208"/>
    <n v="4255"/>
    <n v="107"/>
    <n v="3624.74"/>
    <n v="3.096392030156166E-2"/>
    <n v="1.5683243243243243"/>
    <n v="62.366542056074771"/>
    <n v="0.5431770569530151"/>
    <n v="-3048.4800000000005"/>
    <n v="-667322"/>
    <x v="0"/>
    <x v="0"/>
  </r>
  <r>
    <s v="C0210"/>
    <x v="109"/>
    <x v="3"/>
    <x v="3"/>
    <n v="8232.2999999999993"/>
    <x v="209"/>
    <x v="209"/>
    <n v="3830"/>
    <n v="340"/>
    <n v="9374.86"/>
    <n v="1.9611055924791856E-2"/>
    <n v="1.743195822454308"/>
    <n v="19.636588235294116"/>
    <n v="1.4041704860674253"/>
    <n v="2698.420000000001"/>
    <n v="-667644"/>
    <x v="1"/>
    <x v="5"/>
  </r>
  <r>
    <s v="C0211"/>
    <x v="6"/>
    <x v="3"/>
    <x v="1"/>
    <n v="7993.45"/>
    <x v="210"/>
    <x v="210"/>
    <n v="5806"/>
    <n v="454"/>
    <n v="16049.05"/>
    <n v="3.0345635005670859E-2"/>
    <n v="1.4711505339304167"/>
    <n v="18.81387665198238"/>
    <n v="1.8789498331674763"/>
    <n v="7507.5499999999993"/>
    <n v="-854150"/>
    <x v="0"/>
    <x v="3"/>
  </r>
  <r>
    <s v="C0212"/>
    <x v="100"/>
    <x v="4"/>
    <x v="0"/>
    <n v="6724.79"/>
    <x v="211"/>
    <x v="211"/>
    <n v="2481"/>
    <n v="397"/>
    <n v="13268.68"/>
    <n v="2.0907949402930989E-2"/>
    <n v="2.2555582426440952"/>
    <n v="14.095818639798489"/>
    <n v="2.3710838378567702"/>
    <n v="7672.64"/>
    <n v="-559604"/>
    <x v="0"/>
    <x v="0"/>
  </r>
  <r>
    <s v="C0213"/>
    <x v="88"/>
    <x v="4"/>
    <x v="3"/>
    <n v="6728.32"/>
    <x v="212"/>
    <x v="212"/>
    <n v="2436"/>
    <n v="144"/>
    <n v="4043.13"/>
    <n v="4.363636363636364E-2"/>
    <n v="2.4105418719211822"/>
    <n v="40.778333333333336"/>
    <n v="0.68853455674990804"/>
    <n v="-1828.9499999999998"/>
    <n v="-587208"/>
    <x v="0"/>
    <x v="2"/>
  </r>
  <r>
    <s v="C0214"/>
    <x v="125"/>
    <x v="3"/>
    <x v="2"/>
    <n v="5640.99"/>
    <x v="213"/>
    <x v="213"/>
    <n v="2251"/>
    <n v="253"/>
    <n v="7504.58"/>
    <n v="4.1894658477573052E-2"/>
    <n v="2.0198844957796536"/>
    <n v="17.971383399209486"/>
    <n v="1.6505335667596266"/>
    <n v="2957.8199999999997"/>
    <n v="-454676"/>
    <x v="0"/>
    <x v="1"/>
  </r>
  <r>
    <s v="C0215"/>
    <x v="64"/>
    <x v="0"/>
    <x v="0"/>
    <n v="4480.1400000000003"/>
    <x v="214"/>
    <x v="214"/>
    <n v="3898"/>
    <n v="283"/>
    <n v="6676.78"/>
    <n v="2.1904906406819854E-2"/>
    <n v="1.032396100564392"/>
    <n v="14.220070671378092"/>
    <n v="1.659124116612164"/>
    <n v="2652.4999999999995"/>
    <n v="-402428"/>
    <x v="1"/>
    <x v="5"/>
  </r>
  <r>
    <s v="C0216"/>
    <x v="98"/>
    <x v="0"/>
    <x v="0"/>
    <n v="9233.69"/>
    <x v="215"/>
    <x v="215"/>
    <n v="1772"/>
    <n v="184"/>
    <n v="7428.64"/>
    <n v="3.349083349083349E-2"/>
    <n v="5.0966534988713317"/>
    <n v="49.082989130434783"/>
    <n v="0.82254655214604366"/>
    <n v="-1602.63"/>
    <n v="-903127"/>
    <x v="0"/>
    <x v="2"/>
  </r>
  <r>
    <s v="C0217"/>
    <x v="126"/>
    <x v="4"/>
    <x v="2"/>
    <n v="8524.2000000000007"/>
    <x v="216"/>
    <x v="216"/>
    <n v="1530"/>
    <n v="286"/>
    <n v="6465.78"/>
    <n v="2.6499471742556766E-2"/>
    <n v="5.2902026143790852"/>
    <n v="28.300734265734267"/>
    <n v="0.79883518799704967"/>
    <n v="-1628.2300000000005"/>
    <n v="-809401"/>
    <x v="1"/>
    <x v="5"/>
  </r>
  <r>
    <s v="C0218"/>
    <x v="127"/>
    <x v="2"/>
    <x v="3"/>
    <n v="6759.75"/>
    <x v="217"/>
    <x v="217"/>
    <n v="5881"/>
    <n v="966"/>
    <n v="40922.839999999997"/>
    <n v="3.5117785805989309E-2"/>
    <n v="1.1218959360652949"/>
    <n v="6.8300931677018628"/>
    <n v="6.2024319969929689"/>
    <n v="34324.969999999994"/>
    <n v="-659787.00000000023"/>
    <x v="0"/>
    <x v="4"/>
  </r>
  <r>
    <s v="C0219"/>
    <x v="45"/>
    <x v="4"/>
    <x v="0"/>
    <n v="6021.62"/>
    <x v="218"/>
    <x v="218"/>
    <n v="4783"/>
    <n v="857"/>
    <n v="24435.88"/>
    <n v="3.5878778786287598E-2"/>
    <n v="1.0553564708342045"/>
    <n v="5.8900466744457418"/>
    <n v="4.840925794955"/>
    <n v="19388.11"/>
    <n v="-504777.00000000006"/>
    <x v="0"/>
    <x v="3"/>
  </r>
  <r>
    <s v="C0220"/>
    <x v="128"/>
    <x v="4"/>
    <x v="0"/>
    <n v="5541.58"/>
    <x v="219"/>
    <x v="219"/>
    <n v="1277"/>
    <n v="208"/>
    <n v="7721.66"/>
    <n v="1.1279922268350853E-2"/>
    <n v="4.3125137039937353"/>
    <n v="26.476346153846155"/>
    <n v="1.4021332539204079"/>
    <n v="2214.58"/>
    <n v="-550708"/>
    <x v="0"/>
    <x v="4"/>
  </r>
  <r>
    <s v="C0221"/>
    <x v="9"/>
    <x v="3"/>
    <x v="1"/>
    <n v="5492.68"/>
    <x v="220"/>
    <x v="220"/>
    <n v="1504"/>
    <n v="92"/>
    <n v="3511.94"/>
    <n v="8.0769891733974905E-3"/>
    <n v="4.0024800531914888"/>
    <n v="65.431847826086951"/>
    <n v="0.58340490354218555"/>
    <n v="-2507.7899999999995"/>
    <n v="-601973"/>
    <x v="0"/>
    <x v="3"/>
  </r>
  <r>
    <s v="C0222"/>
    <x v="110"/>
    <x v="4"/>
    <x v="1"/>
    <n v="4660.59"/>
    <x v="221"/>
    <x v="221"/>
    <n v="7746"/>
    <n v="512"/>
    <n v="12587.92"/>
    <n v="3.9284699963484403E-2"/>
    <n v="0.49971340046475604"/>
    <n v="7.5601171875000004"/>
    <n v="3.2520370571306039"/>
    <n v="8717.14"/>
    <n v="-387078.00000000006"/>
    <x v="0"/>
    <x v="0"/>
  </r>
  <r>
    <s v="C0223"/>
    <x v="129"/>
    <x v="4"/>
    <x v="0"/>
    <n v="4721.7"/>
    <x v="222"/>
    <x v="222"/>
    <n v="3409"/>
    <n v="272"/>
    <n v="6962.39"/>
    <n v="2.4576808835827781E-2"/>
    <n v="1.1748225286007625"/>
    <n v="14.724154411764705"/>
    <n v="1.7384374914169147"/>
    <n v="2957.4200000000005"/>
    <n v="-400497"/>
    <x v="0"/>
    <x v="1"/>
  </r>
  <r>
    <s v="C0224"/>
    <x v="2"/>
    <x v="1"/>
    <x v="1"/>
    <n v="4995.67"/>
    <x v="223"/>
    <x v="223"/>
    <n v="7934"/>
    <n v="818"/>
    <n v="38366.620000000003"/>
    <n v="3.9908453006715125E-2"/>
    <n v="0.53647214519788256"/>
    <n v="5.2033863080684597"/>
    <n v="9.0139297100581022"/>
    <n v="34110.25"/>
    <n v="-425637.00000000023"/>
    <x v="0"/>
    <x v="2"/>
  </r>
  <r>
    <s v="C0225"/>
    <x v="44"/>
    <x v="0"/>
    <x v="3"/>
    <n v="3561.64"/>
    <x v="224"/>
    <x v="224"/>
    <n v="1499"/>
    <n v="94"/>
    <n v="3037.32"/>
    <n v="1.6719461051128759E-2"/>
    <n v="2.2746831220813877"/>
    <n v="36.273936170212764"/>
    <n v="0.8907749835031894"/>
    <n v="-372.42999999999984"/>
    <n v="-340975"/>
    <x v="0"/>
    <x v="0"/>
  </r>
  <r>
    <s v="C0226"/>
    <x v="116"/>
    <x v="2"/>
    <x v="3"/>
    <n v="9876.65"/>
    <x v="225"/>
    <x v="225"/>
    <n v="1323"/>
    <n v="252"/>
    <n v="8047.79"/>
    <n v="1.3324470495815331E-2"/>
    <n v="6.2231972789115657"/>
    <n v="32.671785714285718"/>
    <n v="0.97746951704604101"/>
    <n v="-185.50000000000091"/>
    <n v="-823329.00000000012"/>
    <x v="1"/>
    <x v="5"/>
  </r>
  <r>
    <s v="C0227"/>
    <x v="76"/>
    <x v="3"/>
    <x v="2"/>
    <n v="9786.2900000000009"/>
    <x v="226"/>
    <x v="226"/>
    <n v="5082"/>
    <n v="149"/>
    <n v="6632.31"/>
    <n v="4.5577657799860095E-2"/>
    <n v="2.040547028728847"/>
    <n v="69.597718120805368"/>
    <n v="0.63956331978792802"/>
    <n v="-3737.7499999999991"/>
    <n v="-1037006"/>
    <x v="0"/>
    <x v="4"/>
  </r>
  <r>
    <s v="C0228"/>
    <x v="22"/>
    <x v="3"/>
    <x v="0"/>
    <n v="4805.32"/>
    <x v="227"/>
    <x v="227"/>
    <n v="1336"/>
    <n v="153"/>
    <n v="6129.07"/>
    <n v="1.5697517301342983E-2"/>
    <n v="3.0618338323353296"/>
    <n v="26.736013071895425"/>
    <n v="1.4983266554376975"/>
    <n v="2038.4599999999996"/>
    <n v="-409061"/>
    <x v="0"/>
    <x v="4"/>
  </r>
  <r>
    <s v="C0229"/>
    <x v="53"/>
    <x v="0"/>
    <x v="0"/>
    <n v="9505.6299999999992"/>
    <x v="228"/>
    <x v="228"/>
    <n v="1602"/>
    <n v="166"/>
    <n v="6166.63"/>
    <n v="1.7343856572152393E-2"/>
    <n v="5.7379650436953806"/>
    <n v="55.374819277108429"/>
    <n v="0.67085317801358113"/>
    <n v="-3025.5899999999992"/>
    <n v="-919221.99999999988"/>
    <x v="1"/>
    <x v="5"/>
  </r>
  <r>
    <s v="C0230"/>
    <x v="130"/>
    <x v="2"/>
    <x v="1"/>
    <n v="4959.8500000000004"/>
    <x v="229"/>
    <x v="229"/>
    <n v="1524"/>
    <n v="60"/>
    <n v="1536.68"/>
    <n v="1.0201827492720153E-2"/>
    <n v="3.35488845144357"/>
    <n v="85.214166666666671"/>
    <n v="0.30055252941118943"/>
    <n v="-3576.17"/>
    <n v="-511285.00000000006"/>
    <x v="0"/>
    <x v="0"/>
  </r>
  <r>
    <s v="C0231"/>
    <x v="78"/>
    <x v="2"/>
    <x v="2"/>
    <n v="5265.75"/>
    <x v="230"/>
    <x v="230"/>
    <n v="2228"/>
    <n v="403"/>
    <n v="14197.01"/>
    <n v="1.6562346679353562E-2"/>
    <n v="2.1924012567324955"/>
    <n v="12.120769230769231"/>
    <n v="2.9064419909635655"/>
    <n v="9312.34"/>
    <n v="-488467"/>
    <x v="0"/>
    <x v="2"/>
  </r>
  <r>
    <s v="C0232"/>
    <x v="56"/>
    <x v="0"/>
    <x v="3"/>
    <n v="4696.87"/>
    <x v="231"/>
    <x v="231"/>
    <n v="7649"/>
    <n v="235"/>
    <n v="9004.8700000000008"/>
    <n v="4.2792326584502119E-2"/>
    <n v="0.51239508432474834"/>
    <n v="16.677914893617022"/>
    <n v="2.2975651326381432"/>
    <n v="5085.5600000000013"/>
    <n v="-391930.99999999994"/>
    <x v="0"/>
    <x v="3"/>
  </r>
  <r>
    <s v="C0233"/>
    <x v="124"/>
    <x v="3"/>
    <x v="1"/>
    <n v="5020.41"/>
    <x v="232"/>
    <x v="232"/>
    <n v="3452"/>
    <n v="224"/>
    <n v="5517.32"/>
    <n v="4.6768096896126592E-2"/>
    <n v="1.4170741599073"/>
    <n v="21.838124999999998"/>
    <n v="1.1278849652679823"/>
    <n v="625.57999999999993"/>
    <n v="-489174"/>
    <x v="0"/>
    <x v="0"/>
  </r>
  <r>
    <s v="C0234"/>
    <x v="98"/>
    <x v="0"/>
    <x v="3"/>
    <n v="6367.98"/>
    <x v="233"/>
    <x v="233"/>
    <n v="2912"/>
    <n v="312"/>
    <n v="6725.07"/>
    <n v="4.7640861200183231E-2"/>
    <n v="2.098846153846154"/>
    <n v="19.58923076923077"/>
    <n v="1.1003347600722531"/>
    <n v="613.22999999999956"/>
    <n v="-611184"/>
    <x v="0"/>
    <x v="2"/>
  </r>
  <r>
    <s v="C0235"/>
    <x v="131"/>
    <x v="4"/>
    <x v="0"/>
    <n v="5356.23"/>
    <x v="234"/>
    <x v="234"/>
    <n v="3184"/>
    <n v="311"/>
    <n v="6811.29"/>
    <n v="4.8248272517880955E-2"/>
    <n v="1.413621231155779"/>
    <n v="14.472572347266881"/>
    <n v="1.513293801113982"/>
    <n v="2310.3199999999997"/>
    <n v="-450097"/>
    <x v="0"/>
    <x v="2"/>
  </r>
  <r>
    <s v="C0236"/>
    <x v="112"/>
    <x v="2"/>
    <x v="2"/>
    <n v="9929.7199999999993"/>
    <x v="235"/>
    <x v="235"/>
    <n v="3812"/>
    <n v="427"/>
    <n v="18914.490000000002"/>
    <n v="4.7366393717615779E-2"/>
    <n v="2.3357922350472196"/>
    <n v="20.852552693208434"/>
    <n v="2.1242593249805708"/>
    <n v="10010.450000000001"/>
    <n v="-890404.00000000012"/>
    <x v="0"/>
    <x v="4"/>
  </r>
  <r>
    <s v="C0237"/>
    <x v="132"/>
    <x v="4"/>
    <x v="2"/>
    <n v="4782.4799999999996"/>
    <x v="236"/>
    <x v="236"/>
    <n v="3118"/>
    <n v="343"/>
    <n v="14682.74"/>
    <n v="4.784630257645741E-2"/>
    <n v="1.5406574727389353"/>
    <n v="14.005160349854229"/>
    <n v="3.0565035378463161"/>
    <n v="9878.9699999999993"/>
    <n v="-480377.00000000006"/>
    <x v="0"/>
    <x v="3"/>
  </r>
  <r>
    <s v="C0238"/>
    <x v="87"/>
    <x v="2"/>
    <x v="2"/>
    <n v="7169.47"/>
    <x v="237"/>
    <x v="237"/>
    <n v="2600"/>
    <n v="192"/>
    <n v="6212.2"/>
    <n v="2.3651844843897825E-2"/>
    <n v="2.5960999999999999"/>
    <n v="35.155520833333334"/>
    <n v="0.92034501456326501"/>
    <n v="-537.65999999999985"/>
    <n v="-674986"/>
    <x v="0"/>
    <x v="1"/>
  </r>
  <r>
    <s v="C0239"/>
    <x v="133"/>
    <x v="4"/>
    <x v="1"/>
    <n v="5442.08"/>
    <x v="238"/>
    <x v="238"/>
    <n v="6156"/>
    <n v="885"/>
    <n v="39752.949999999997"/>
    <n v="3.9642726049186346E-2"/>
    <n v="0.95374269005847945"/>
    <n v="6.6341694915254239"/>
    <n v="6.7707928819125085"/>
    <n v="33881.71"/>
    <n v="-587123.99999999977"/>
    <x v="0"/>
    <x v="3"/>
  </r>
  <r>
    <s v="C0240"/>
    <x v="38"/>
    <x v="4"/>
    <x v="2"/>
    <n v="9755.19"/>
    <x v="239"/>
    <x v="239"/>
    <n v="2383"/>
    <n v="340"/>
    <n v="14254.85"/>
    <n v="3.0264160528321055E-2"/>
    <n v="3.4275744859420896"/>
    <n v="24.023264705882351"/>
    <n v="1.7452261349598612"/>
    <n v="6086.9400000000005"/>
    <n v="-816791"/>
    <x v="0"/>
    <x v="2"/>
  </r>
  <r>
    <s v="C0241"/>
    <x v="134"/>
    <x v="4"/>
    <x v="3"/>
    <n v="9568.3799999999992"/>
    <x v="240"/>
    <x v="240"/>
    <n v="2402"/>
    <n v="240"/>
    <n v="5278.77"/>
    <n v="1.5127278223520965E-2"/>
    <n v="3.4033888426311405"/>
    <n v="34.062249999999999"/>
    <n v="0.64572584018965284"/>
    <n v="-2896.1699999999992"/>
    <n v="-817494"/>
    <x v="0"/>
    <x v="1"/>
  </r>
  <r>
    <s v="C0242"/>
    <x v="135"/>
    <x v="2"/>
    <x v="1"/>
    <n v="8187.84"/>
    <x v="241"/>
    <x v="241"/>
    <n v="3562"/>
    <n v="554"/>
    <n v="25071.19"/>
    <n v="2.2518364921419631E-2"/>
    <n v="2.2350870297585628"/>
    <n v="14.370722021660651"/>
    <n v="3.1491010352476581"/>
    <n v="17109.809999999998"/>
    <n v="-796138.00000000012"/>
    <x v="0"/>
    <x v="0"/>
  </r>
  <r>
    <s v="C0243"/>
    <x v="14"/>
    <x v="3"/>
    <x v="1"/>
    <n v="3978.41"/>
    <x v="242"/>
    <x v="242"/>
    <n v="2036"/>
    <n v="76"/>
    <n v="1979.71"/>
    <n v="2.8908135737611813E-2"/>
    <n v="2.0294204322200393"/>
    <n v="54.367105263157889"/>
    <n v="0.47912824608533611"/>
    <n v="-2152.1899999999996"/>
    <n v="-413189.99999999994"/>
    <x v="0"/>
    <x v="4"/>
  </r>
  <r>
    <s v="C0244"/>
    <x v="105"/>
    <x v="1"/>
    <x v="1"/>
    <n v="4145.59"/>
    <x v="243"/>
    <x v="243"/>
    <n v="1779"/>
    <n v="127"/>
    <n v="5643.53"/>
    <n v="3.3269748653500901E-2"/>
    <n v="1.9790725126475548"/>
    <n v="27.72259842519685"/>
    <n v="1.6029249283537408"/>
    <n v="2122.7599999999998"/>
    <n v="-352077"/>
    <x v="0"/>
    <x v="3"/>
  </r>
  <r>
    <s v="C0245"/>
    <x v="51"/>
    <x v="0"/>
    <x v="2"/>
    <n v="7656.38"/>
    <x v="244"/>
    <x v="244"/>
    <n v="2231"/>
    <n v="352"/>
    <n v="10829.25"/>
    <n v="3.4201529947417639E-2"/>
    <n v="3.2839713133124158"/>
    <n v="20.81403409090909"/>
    <n v="1.4780851534284942"/>
    <n v="3502.71"/>
    <n v="-732654"/>
    <x v="0"/>
    <x v="2"/>
  </r>
  <r>
    <s v="C0246"/>
    <x v="32"/>
    <x v="0"/>
    <x v="3"/>
    <n v="9140.4"/>
    <x v="245"/>
    <x v="245"/>
    <n v="2540"/>
    <n v="494"/>
    <n v="21982"/>
    <n v="1.8588176748679068E-2"/>
    <n v="3.3025393700787404"/>
    <n v="16.980668016194333"/>
    <n v="2.6205079603502432"/>
    <n v="13593.55"/>
    <n v="-838845.00000000012"/>
    <x v="0"/>
    <x v="4"/>
  </r>
  <r>
    <s v="C0247"/>
    <x v="136"/>
    <x v="1"/>
    <x v="0"/>
    <n v="6073.94"/>
    <x v="246"/>
    <x v="246"/>
    <n v="1150"/>
    <n v="118"/>
    <n v="3997.89"/>
    <n v="1.0812538784106509E-2"/>
    <n v="4.8226173913043482"/>
    <n v="47.000084745762713"/>
    <n v="0.72085877955503141"/>
    <n v="-1548.1200000000003"/>
    <n v="-554601"/>
    <x v="1"/>
    <x v="5"/>
  </r>
  <r>
    <s v="C0248"/>
    <x v="132"/>
    <x v="0"/>
    <x v="1"/>
    <n v="5109.6499999999996"/>
    <x v="247"/>
    <x v="247"/>
    <n v="4479"/>
    <n v="887"/>
    <n v="31117.39"/>
    <n v="2.4931673077244212E-2"/>
    <n v="1.1685041303862469"/>
    <n v="5.9004847801578348"/>
    <n v="5.945547439397906"/>
    <n v="25883.66"/>
    <n v="-523372.99999999994"/>
    <x v="0"/>
    <x v="3"/>
  </r>
  <r>
    <s v="C0249"/>
    <x v="137"/>
    <x v="1"/>
    <x v="3"/>
    <n v="4625.49"/>
    <x v="248"/>
    <x v="248"/>
    <n v="3752"/>
    <n v="526"/>
    <n v="16577.8"/>
    <n v="4.2996458980323851E-2"/>
    <n v="1.3189445628997869"/>
    <n v="9.4081368821292788"/>
    <n v="3.3499438234034122"/>
    <n v="11629.119999999999"/>
    <n v="-494868"/>
    <x v="0"/>
    <x v="2"/>
  </r>
  <r>
    <s v="C0250"/>
    <x v="81"/>
    <x v="0"/>
    <x v="1"/>
    <n v="6804.87"/>
    <x v="249"/>
    <x v="249"/>
    <n v="4101"/>
    <n v="124"/>
    <n v="4802.17"/>
    <n v="2.8737404173615685E-2"/>
    <n v="1.7786930017069007"/>
    <n v="58.825967741935486"/>
    <n v="0.65833472709276408"/>
    <n v="-2492.25"/>
    <n v="-729442"/>
    <x v="1"/>
    <x v="5"/>
  </r>
  <r>
    <s v="C0251"/>
    <x v="62"/>
    <x v="0"/>
    <x v="0"/>
    <n v="3818.29"/>
    <x v="250"/>
    <x v="250"/>
    <n v="8105"/>
    <n v="869"/>
    <n v="33744.35"/>
    <n v="4.1107701671189108E-2"/>
    <n v="0.50971005552128312"/>
    <n v="4.7539700805523593"/>
    <n v="8.1681714756003103"/>
    <n v="29613.149999999998"/>
    <n v="-413120.00000000006"/>
    <x v="0"/>
    <x v="4"/>
  </r>
  <r>
    <s v="C0252"/>
    <x v="138"/>
    <x v="2"/>
    <x v="2"/>
    <n v="5344.34"/>
    <x v="251"/>
    <x v="251"/>
    <n v="2816"/>
    <n v="230"/>
    <n v="10078.77"/>
    <n v="1.9965683980658244E-2"/>
    <n v="1.5975745738636364"/>
    <n v="19.559869565217394"/>
    <n v="2.2403390260004401"/>
    <n v="5580"/>
    <n v="-449877.00000000006"/>
    <x v="0"/>
    <x v="4"/>
  </r>
  <r>
    <s v="C0253"/>
    <x v="139"/>
    <x v="0"/>
    <x v="1"/>
    <n v="7340.51"/>
    <x v="252"/>
    <x v="252"/>
    <n v="3336"/>
    <n v="394"/>
    <n v="18445.810000000001"/>
    <n v="3.2181823443725222E-2"/>
    <n v="2.11246103117506"/>
    <n v="17.886218274111677"/>
    <n v="2.6174776541505316"/>
    <n v="11398.640000000001"/>
    <n v="-704717"/>
    <x v="1"/>
    <x v="5"/>
  </r>
  <r>
    <s v="C0254"/>
    <x v="54"/>
    <x v="2"/>
    <x v="2"/>
    <n v="8520.18"/>
    <x v="253"/>
    <x v="253"/>
    <n v="2638"/>
    <n v="60"/>
    <n v="1761.1"/>
    <n v="3.708337433403152E-2"/>
    <n v="2.73079226686884"/>
    <n v="120.06383333333333"/>
    <n v="0.24446717926436354"/>
    <n v="-5442.73"/>
    <n v="-720383"/>
    <x v="0"/>
    <x v="4"/>
  </r>
  <r>
    <s v="C0255"/>
    <x v="56"/>
    <x v="3"/>
    <x v="3"/>
    <n v="4739.42"/>
    <x v="254"/>
    <x v="254"/>
    <n v="3124"/>
    <n v="400"/>
    <n v="8402.39"/>
    <n v="2.8622212449379729E-2"/>
    <n v="1.5522727272727272"/>
    <n v="12.123250000000001"/>
    <n v="1.7327016270389539"/>
    <n v="3553.0899999999992"/>
    <n v="-484930"/>
    <x v="0"/>
    <x v="3"/>
  </r>
  <r>
    <s v="C0256"/>
    <x v="109"/>
    <x v="4"/>
    <x v="1"/>
    <n v="6989.23"/>
    <x v="255"/>
    <x v="255"/>
    <n v="1389"/>
    <n v="211"/>
    <n v="9769.93"/>
    <n v="1.1644478723047517E-2"/>
    <n v="5.1764434845212381"/>
    <n v="34.076208530805687"/>
    <n v="1.3588068561128668"/>
    <n v="2579.8500000000004"/>
    <n v="-719008"/>
    <x v="1"/>
    <x v="5"/>
  </r>
  <r>
    <s v="C0257"/>
    <x v="140"/>
    <x v="4"/>
    <x v="1"/>
    <n v="5394.57"/>
    <x v="256"/>
    <x v="256"/>
    <n v="4396"/>
    <n v="677"/>
    <n v="15786.93"/>
    <n v="2.2779208531321413E-2"/>
    <n v="1.2840673339399455"/>
    <n v="8.3379025110782869"/>
    <n v="2.7967406940241921"/>
    <n v="10142.17"/>
    <n v="-564476"/>
    <x v="0"/>
    <x v="4"/>
  </r>
  <r>
    <s v="C0258"/>
    <x v="51"/>
    <x v="2"/>
    <x v="2"/>
    <n v="8925.17"/>
    <x v="257"/>
    <x v="257"/>
    <n v="2619"/>
    <n v="104"/>
    <n v="3319.54"/>
    <n v="2.1569757865261076E-2"/>
    <n v="2.8566208476517754"/>
    <n v="71.937403846153842"/>
    <n v="0.44370038588569927"/>
    <n v="-4161.95"/>
    <n v="-748149"/>
    <x v="0"/>
    <x v="2"/>
  </r>
  <r>
    <s v="C0259"/>
    <x v="78"/>
    <x v="2"/>
    <x v="2"/>
    <n v="8581.07"/>
    <x v="258"/>
    <x v="258"/>
    <n v="6144"/>
    <n v="426"/>
    <n v="11449.83"/>
    <n v="3.9101629870997717E-2"/>
    <n v="1.1801416015624999"/>
    <n v="17.020633802816903"/>
    <n v="1.5791148274877633"/>
    <n v="4199.04"/>
    <n v="-725079"/>
    <x v="0"/>
    <x v="2"/>
  </r>
  <r>
    <s v="C0260"/>
    <x v="24"/>
    <x v="1"/>
    <x v="3"/>
    <n v="8055.77"/>
    <x v="259"/>
    <x v="259"/>
    <n v="2202"/>
    <n v="364"/>
    <n v="14281.33"/>
    <n v="1.1293118480301149E-2"/>
    <n v="3.7169618528610355"/>
    <n v="22.485576923076923"/>
    <n v="1.7448706435749413"/>
    <n v="6096.58"/>
    <n v="-818475"/>
    <x v="0"/>
    <x v="3"/>
  </r>
  <r>
    <s v="C0261"/>
    <x v="16"/>
    <x v="2"/>
    <x v="1"/>
    <n v="7857.64"/>
    <x v="260"/>
    <x v="260"/>
    <n v="2918"/>
    <n v="193"/>
    <n v="5317.92"/>
    <n v="3.8894738946723004E-2"/>
    <n v="2.5926901987662783"/>
    <n v="39.19932642487047"/>
    <n v="0.70291997721225519"/>
    <n v="-2247.5500000000002"/>
    <n v="-756547"/>
    <x v="0"/>
    <x v="0"/>
  </r>
  <r>
    <s v="C0262"/>
    <x v="114"/>
    <x v="0"/>
    <x v="3"/>
    <n v="5419.87"/>
    <x v="261"/>
    <x v="261"/>
    <n v="4618"/>
    <n v="144"/>
    <n v="6804.51"/>
    <n v="2.4187508183841824E-2"/>
    <n v="1.0028518839324383"/>
    <n v="32.160902777777778"/>
    <n v="1.4692852993951853"/>
    <n v="2173.34"/>
    <n v="-463117"/>
    <x v="0"/>
    <x v="2"/>
  </r>
  <r>
    <s v="C0263"/>
    <x v="112"/>
    <x v="4"/>
    <x v="2"/>
    <n v="7083.74"/>
    <x v="262"/>
    <x v="262"/>
    <n v="1945"/>
    <n v="236"/>
    <n v="7991"/>
    <n v="1.1688912660684989E-2"/>
    <n v="3.3515938303341906"/>
    <n v="27.622245762711866"/>
    <n v="1.2258297092278545"/>
    <n v="1472.1499999999996"/>
    <n v="-651885"/>
    <x v="0"/>
    <x v="4"/>
  </r>
  <r>
    <s v="C0264"/>
    <x v="61"/>
    <x v="1"/>
    <x v="0"/>
    <n v="9630.98"/>
    <x v="263"/>
    <x v="263"/>
    <n v="2185"/>
    <n v="376"/>
    <n v="14132.67"/>
    <n v="2.8131115459882582E-2"/>
    <n v="3.7289977116704804"/>
    <n v="21.669840425531913"/>
    <n v="1.7345253845795092"/>
    <n v="5984.81"/>
    <n v="-814786"/>
    <x v="0"/>
    <x v="3"/>
  </r>
  <r>
    <s v="C0265"/>
    <x v="40"/>
    <x v="1"/>
    <x v="3"/>
    <n v="6541.22"/>
    <x v="264"/>
    <x v="264"/>
    <n v="4365"/>
    <n v="646"/>
    <n v="13270.98"/>
    <n v="3.4280463669776648E-2"/>
    <n v="1.4737388316151203"/>
    <n v="9.9580030959752328"/>
    <n v="2.0629952105358882"/>
    <n v="6838.11"/>
    <n v="-643287"/>
    <x v="0"/>
    <x v="0"/>
  </r>
  <r>
    <s v="C0266"/>
    <x v="35"/>
    <x v="3"/>
    <x v="2"/>
    <n v="9104.8700000000008"/>
    <x v="265"/>
    <x v="265"/>
    <n v="4402"/>
    <n v="390"/>
    <n v="14412.06"/>
    <n v="2.8393588544522206E-2"/>
    <n v="2.2330622444343482"/>
    <n v="25.204974358974361"/>
    <n v="1.4661391625991611"/>
    <n v="4582.119999999999"/>
    <n v="-982994"/>
    <x v="0"/>
    <x v="2"/>
  </r>
  <r>
    <s v="C0267"/>
    <x v="141"/>
    <x v="0"/>
    <x v="2"/>
    <n v="7876.56"/>
    <x v="266"/>
    <x v="266"/>
    <n v="5069"/>
    <n v="397"/>
    <n v="16363.21"/>
    <n v="3.4178870998192952E-2"/>
    <n v="1.6731268494772145"/>
    <n v="21.362921914357681"/>
    <n v="1.9293780980724151"/>
    <n v="7882.1299999999992"/>
    <n v="-848108"/>
    <x v="0"/>
    <x v="0"/>
  </r>
  <r>
    <s v="C0268"/>
    <x v="65"/>
    <x v="0"/>
    <x v="0"/>
    <n v="4067.77"/>
    <x v="267"/>
    <x v="267"/>
    <n v="2423"/>
    <n v="354"/>
    <n v="13523.31"/>
    <n v="3.2475104207154444E-2"/>
    <n v="1.6332975650020636"/>
    <n v="11.179322033898305"/>
    <n v="3.4171518238879286"/>
    <n v="9565.83"/>
    <n v="-395747.99999999994"/>
    <x v="0"/>
    <x v="4"/>
  </r>
  <r>
    <s v="C0269"/>
    <x v="120"/>
    <x v="4"/>
    <x v="0"/>
    <n v="5968.91"/>
    <x v="268"/>
    <x v="268"/>
    <n v="5991"/>
    <n v="805"/>
    <n v="38664.959999999999"/>
    <n v="3.0498638226385318E-2"/>
    <n v="1.0171690869637791"/>
    <n v="7.5700124223602483"/>
    <n v="6.3449045432615785"/>
    <n v="32571.1"/>
    <n v="-609386"/>
    <x v="0"/>
    <x v="2"/>
  </r>
  <r>
    <s v="C0270"/>
    <x v="29"/>
    <x v="3"/>
    <x v="0"/>
    <n v="9478.98"/>
    <x v="269"/>
    <x v="269"/>
    <n v="1111"/>
    <n v="104"/>
    <n v="2433.3000000000002"/>
    <n v="2.2007408434522511E-2"/>
    <n v="7.9795049504950493"/>
    <n v="85.242596153846151"/>
    <n v="0.27447680432430971"/>
    <n v="-6431.9299999999994"/>
    <n v="-886523"/>
    <x v="0"/>
    <x v="4"/>
  </r>
  <r>
    <s v="C0271"/>
    <x v="119"/>
    <x v="2"/>
    <x v="0"/>
    <n v="9893.89"/>
    <x v="270"/>
    <x v="270"/>
    <n v="3470"/>
    <n v="102"/>
    <n v="2421.4699999999998"/>
    <n v="2.2177767267660724E-2"/>
    <n v="2.9985878962536026"/>
    <n v="102.01078431372549"/>
    <n v="0.23271953176807525"/>
    <n v="-7983.630000000001"/>
    <n v="-1040510"/>
    <x v="0"/>
    <x v="6"/>
  </r>
  <r>
    <s v="C0272"/>
    <x v="142"/>
    <x v="2"/>
    <x v="3"/>
    <n v="9445.89"/>
    <x v="271"/>
    <x v="271"/>
    <n v="5531"/>
    <n v="947"/>
    <n v="33680.19"/>
    <n v="4.3122334578171412E-2"/>
    <n v="1.8119327427228349"/>
    <n v="10.582682154171065"/>
    <n v="3.3606926899359402"/>
    <n v="23658.390000000003"/>
    <n v="-1002179.9999999999"/>
    <x v="1"/>
    <x v="5"/>
  </r>
  <r>
    <s v="C0273"/>
    <x v="27"/>
    <x v="3"/>
    <x v="2"/>
    <n v="7138.93"/>
    <x v="272"/>
    <x v="272"/>
    <n v="1190"/>
    <n v="108"/>
    <n v="2337.4299999999998"/>
    <n v="2.2667098420922304E-2"/>
    <n v="5.5173781512605045"/>
    <n v="60.793333333333337"/>
    <n v="0.35600729855856511"/>
    <n v="-4228.25"/>
    <n v="-656568"/>
    <x v="0"/>
    <x v="2"/>
  </r>
  <r>
    <s v="C0274"/>
    <x v="143"/>
    <x v="0"/>
    <x v="1"/>
    <n v="5346.38"/>
    <x v="273"/>
    <x v="273"/>
    <n v="1613"/>
    <n v="258"/>
    <n v="5195.8500000000004"/>
    <n v="2.4039822942903556E-2"/>
    <n v="3.449975201487911"/>
    <n v="21.569031007751938"/>
    <n v="0.933697646460526"/>
    <n v="-368.96000000000004"/>
    <n v="-556481"/>
    <x v="1"/>
    <x v="5"/>
  </r>
  <r>
    <s v="C0275"/>
    <x v="118"/>
    <x v="1"/>
    <x v="3"/>
    <n v="5334.49"/>
    <x v="274"/>
    <x v="274"/>
    <n v="6884"/>
    <n v="582"/>
    <n v="21022.93"/>
    <n v="3.5896419744073753E-2"/>
    <n v="0.71249273678094138"/>
    <n v="8.4274914089347082"/>
    <n v="4.28619515576578"/>
    <n v="16118.130000000001"/>
    <n v="-490479.99999999994"/>
    <x v="1"/>
    <x v="5"/>
  </r>
  <r>
    <s v="C0276"/>
    <x v="101"/>
    <x v="2"/>
    <x v="3"/>
    <n v="9438.99"/>
    <x v="275"/>
    <x v="275"/>
    <n v="4580"/>
    <n v="285"/>
    <n v="8666.4500000000007"/>
    <n v="2.5629259885171961E-2"/>
    <n v="1.8628689956331879"/>
    <n v="29.93663157894737"/>
    <n v="1.0157654648298042"/>
    <n v="134.51000000000022"/>
    <n v="-853194"/>
    <x v="0"/>
    <x v="1"/>
  </r>
  <r>
    <s v="C0277"/>
    <x v="74"/>
    <x v="4"/>
    <x v="3"/>
    <n v="8162.51"/>
    <x v="276"/>
    <x v="276"/>
    <n v="2962"/>
    <n v="302"/>
    <n v="8074.92"/>
    <n v="4.2037439150735871E-2"/>
    <n v="2.5784537474679272"/>
    <n v="25.289337748344373"/>
    <n v="1.0572892798315652"/>
    <n v="437.53999999999996"/>
    <n v="-763738"/>
    <x v="0"/>
    <x v="1"/>
  </r>
  <r>
    <s v="C0278"/>
    <x v="144"/>
    <x v="3"/>
    <x v="0"/>
    <n v="6167.08"/>
    <x v="277"/>
    <x v="277"/>
    <n v="4343"/>
    <n v="558"/>
    <n v="14112.72"/>
    <n v="4.0986778154226557E-2"/>
    <n v="1.1960096707345154"/>
    <n v="9.3087275985663087"/>
    <n v="2.7169785167116838"/>
    <n v="8918.4499999999989"/>
    <n v="-519427.00000000006"/>
    <x v="0"/>
    <x v="6"/>
  </r>
  <r>
    <s v="C0279"/>
    <x v="29"/>
    <x v="3"/>
    <x v="1"/>
    <n v="6488.57"/>
    <x v="278"/>
    <x v="278"/>
    <n v="2706"/>
    <n v="330"/>
    <n v="15656.97"/>
    <n v="3.8330240661784497E-2"/>
    <n v="2.2196304508499631"/>
    <n v="18.200969696969697"/>
    <n v="2.6067492241505614"/>
    <n v="9650.65"/>
    <n v="-600632"/>
    <x v="0"/>
    <x v="4"/>
  </r>
  <r>
    <s v="C0280"/>
    <x v="67"/>
    <x v="0"/>
    <x v="1"/>
    <n v="5536.76"/>
    <x v="279"/>
    <x v="279"/>
    <n v="4677"/>
    <n v="700"/>
    <n v="27277.55"/>
    <n v="4.6906968347574921E-2"/>
    <n v="1.1532563609151165"/>
    <n v="7.7054"/>
    <n v="5.0572233201947432"/>
    <n v="21883.77"/>
    <n v="-539377.99999999988"/>
    <x v="0"/>
    <x v="4"/>
  </r>
  <r>
    <s v="C0281"/>
    <x v="47"/>
    <x v="2"/>
    <x v="1"/>
    <n v="3091.66"/>
    <x v="280"/>
    <x v="280"/>
    <n v="7134"/>
    <n v="1220"/>
    <n v="30916.12"/>
    <n v="4.1836980043279633E-2"/>
    <n v="0.43296327446033084"/>
    <n v="2.5317704918032788"/>
    <n v="10.009233478807028"/>
    <n v="27827.360000000001"/>
    <n v="-308875.99999999983"/>
    <x v="0"/>
    <x v="1"/>
  </r>
  <r>
    <s v="C0282"/>
    <x v="40"/>
    <x v="3"/>
    <x v="0"/>
    <n v="9727.49"/>
    <x v="281"/>
    <x v="281"/>
    <n v="2448"/>
    <n v="214"/>
    <n v="6941.89"/>
    <n v="1.9690644530778699E-2"/>
    <n v="3.3561397058823528"/>
    <n v="38.391728971962614"/>
    <n v="0.84494080330289212"/>
    <n v="-1273.9399999999996"/>
    <n v="-821583"/>
    <x v="0"/>
    <x v="0"/>
  </r>
  <r>
    <s v="C0283"/>
    <x v="116"/>
    <x v="2"/>
    <x v="0"/>
    <n v="3597.45"/>
    <x v="282"/>
    <x v="282"/>
    <n v="1207"/>
    <n v="133"/>
    <n v="4663.76"/>
    <n v="1.3024008632317237E-2"/>
    <n v="3.2757415078707539"/>
    <n v="29.727969924812033"/>
    <n v="1.1795579970762453"/>
    <n v="709.94"/>
    <n v="-395382"/>
    <x v="1"/>
    <x v="5"/>
  </r>
  <r>
    <s v="C0284"/>
    <x v="38"/>
    <x v="0"/>
    <x v="0"/>
    <n v="7167.7"/>
    <x v="283"/>
    <x v="283"/>
    <n v="3290"/>
    <n v="54"/>
    <n v="2294.94"/>
    <n v="4.5841519318926001E-2"/>
    <n v="1.7867477203647415"/>
    <n v="108.85925925925925"/>
    <n v="0.39040215024496466"/>
    <n v="-3583.4599999999996"/>
    <n v="-587840"/>
    <x v="0"/>
    <x v="2"/>
  </r>
  <r>
    <s v="C0285"/>
    <x v="10"/>
    <x v="0"/>
    <x v="1"/>
    <n v="4469.34"/>
    <x v="284"/>
    <x v="284"/>
    <n v="1170"/>
    <n v="114"/>
    <n v="2981.58"/>
    <n v="1.8932651542121103E-2"/>
    <n v="4.0851111111111109"/>
    <n v="41.926140350877191"/>
    <n v="0.6238163185886626"/>
    <n v="-1798"/>
    <n v="-477958"/>
    <x v="0"/>
    <x v="2"/>
  </r>
  <r>
    <s v="C0286"/>
    <x v="43"/>
    <x v="4"/>
    <x v="0"/>
    <n v="4334.8100000000004"/>
    <x v="285"/>
    <x v="285"/>
    <n v="1196"/>
    <n v="224"/>
    <n v="7652.29"/>
    <n v="1.5279073035502126E-2"/>
    <n v="2.9392809364548498"/>
    <n v="15.693660714285715"/>
    <n v="2.1768030767655273"/>
    <n v="4136.91"/>
    <n v="-351538"/>
    <x v="0"/>
    <x v="4"/>
  </r>
  <r>
    <s v="C0287"/>
    <x v="18"/>
    <x v="1"/>
    <x v="1"/>
    <n v="6953.89"/>
    <x v="286"/>
    <x v="286"/>
    <n v="1049"/>
    <n v="73"/>
    <n v="3158.41"/>
    <n v="1.5936678668550506E-2"/>
    <n v="5.433927550047664"/>
    <n v="78.084794520547945"/>
    <n v="0.55408854792559548"/>
    <n v="-2541.7799999999997"/>
    <n v="-570019"/>
    <x v="0"/>
    <x v="6"/>
  </r>
  <r>
    <s v="C0288"/>
    <x v="145"/>
    <x v="3"/>
    <x v="0"/>
    <n v="6173.02"/>
    <x v="287"/>
    <x v="287"/>
    <n v="1946"/>
    <n v="140"/>
    <n v="4651.2"/>
    <n v="1.3312809988028048E-2"/>
    <n v="3.0367625899280575"/>
    <n v="42.210999999999999"/>
    <n v="0.78706633680455662"/>
    <n v="-1258.3400000000001"/>
    <n v="-590954"/>
    <x v="0"/>
    <x v="3"/>
  </r>
  <r>
    <s v="C0289"/>
    <x v="37"/>
    <x v="0"/>
    <x v="2"/>
    <n v="5805.34"/>
    <x v="288"/>
    <x v="288"/>
    <n v="4465"/>
    <n v="500"/>
    <n v="12328.6"/>
    <n v="4.3495626083737603E-2"/>
    <n v="1.258441209406495"/>
    <n v="11.237879999999999"/>
    <n v="2.1941149042346066"/>
    <n v="6709.6600000000008"/>
    <n v="-561894"/>
    <x v="1"/>
    <x v="5"/>
  </r>
  <r>
    <s v="C0290"/>
    <x v="129"/>
    <x v="2"/>
    <x v="3"/>
    <n v="4273.5"/>
    <x v="289"/>
    <x v="289"/>
    <n v="1090"/>
    <n v="124"/>
    <n v="5999.55"/>
    <n v="1.5836348050966891E-2"/>
    <n v="4.1501376146788989"/>
    <n v="36.48104838709677"/>
    <n v="1.3262630840140153"/>
    <n v="1475.9000000000005"/>
    <n v="-452364.99999999994"/>
    <x v="0"/>
    <x v="1"/>
  </r>
  <r>
    <s v="C0291"/>
    <x v="113"/>
    <x v="2"/>
    <x v="1"/>
    <n v="5613.17"/>
    <x v="290"/>
    <x v="290"/>
    <n v="4894"/>
    <n v="191"/>
    <n v="7510.12"/>
    <n v="4.3557976432055251E-2"/>
    <n v="1.0107192480588476"/>
    <n v="25.897696335078535"/>
    <n v="1.5182817610978356"/>
    <n v="2563.66"/>
    <n v="-494646"/>
    <x v="0"/>
    <x v="1"/>
  </r>
  <r>
    <s v="C0292"/>
    <x v="102"/>
    <x v="2"/>
    <x v="3"/>
    <n v="5861.14"/>
    <x v="291"/>
    <x v="291"/>
    <n v="3560"/>
    <n v="118"/>
    <n v="2912.78"/>
    <n v="1.8211861241987547E-2"/>
    <n v="1.3296488764044945"/>
    <n v="40.114830508474576"/>
    <n v="0.61534788900508075"/>
    <n v="-1820.77"/>
    <n v="-473355"/>
    <x v="0"/>
    <x v="1"/>
  </r>
  <r>
    <s v="C0293"/>
    <x v="4"/>
    <x v="1"/>
    <x v="1"/>
    <n v="8011.81"/>
    <x v="292"/>
    <x v="292"/>
    <n v="6944"/>
    <n v="396"/>
    <n v="8241.9"/>
    <n v="4.2917977465589598E-2"/>
    <n v="1.151094470046083"/>
    <n v="20.184848484848484"/>
    <n v="1.0311139468548265"/>
    <n v="248.69999999999982"/>
    <n v="-799320"/>
    <x v="0"/>
    <x v="0"/>
  </r>
  <r>
    <s v="C0294"/>
    <x v="97"/>
    <x v="1"/>
    <x v="0"/>
    <n v="4553.8100000000004"/>
    <x v="293"/>
    <x v="293"/>
    <n v="3686"/>
    <n v="217"/>
    <n v="8714.02"/>
    <n v="1.9215030052807447E-2"/>
    <n v="1.0739907759088443"/>
    <n v="18.242995391705069"/>
    <n v="2.2012160465603867"/>
    <n v="4755.2900000000009"/>
    <n v="-395872.99999999994"/>
    <x v="0"/>
    <x v="0"/>
  </r>
  <r>
    <s v="C0295"/>
    <x v="82"/>
    <x v="0"/>
    <x v="3"/>
    <n v="3137.97"/>
    <x v="294"/>
    <x v="294"/>
    <n v="2101"/>
    <n v="226"/>
    <n v="9943.43"/>
    <n v="3.8885804182861375E-2"/>
    <n v="1.2414945264159924"/>
    <n v="11.541504424778761"/>
    <n v="3.8121094319079276"/>
    <n v="7335.05"/>
    <n v="-260838"/>
    <x v="0"/>
    <x v="3"/>
  </r>
  <r>
    <s v="C0296"/>
    <x v="18"/>
    <x v="1"/>
    <x v="2"/>
    <n v="4249.8100000000004"/>
    <x v="295"/>
    <x v="295"/>
    <n v="2504"/>
    <n v="293"/>
    <n v="7953.63"/>
    <n v="1.8553095640318901E-2"/>
    <n v="1.6901198083067095"/>
    <n v="14.443890784982937"/>
    <n v="1.8793755287023339"/>
    <n v="3721.5699999999997"/>
    <n v="-423206.00000000006"/>
    <x v="0"/>
    <x v="6"/>
  </r>
  <r>
    <s v="C0297"/>
    <x v="112"/>
    <x v="3"/>
    <x v="2"/>
    <n v="3696.09"/>
    <x v="296"/>
    <x v="296"/>
    <n v="4795"/>
    <n v="100"/>
    <n v="4166.8"/>
    <n v="4.8234584045870638E-2"/>
    <n v="0.67289051094890517"/>
    <n v="32.265100000000004"/>
    <n v="1.2914263399152643"/>
    <n v="940.29"/>
    <n v="-322651"/>
    <x v="0"/>
    <x v="4"/>
  </r>
  <r>
    <s v="C0298"/>
    <x v="146"/>
    <x v="0"/>
    <x v="1"/>
    <n v="8989.8799999999992"/>
    <x v="297"/>
    <x v="297"/>
    <n v="2474"/>
    <n v="292"/>
    <n v="9319.33"/>
    <n v="1.620785891170189E-2"/>
    <n v="3.8120371867421179"/>
    <n v="32.297876712328765"/>
    <n v="0.98816135756835455"/>
    <n v="-111.64999999999964"/>
    <n v="-943098"/>
    <x v="1"/>
    <x v="5"/>
  </r>
  <r>
    <s v="C0299"/>
    <x v="7"/>
    <x v="2"/>
    <x v="0"/>
    <n v="7676.6"/>
    <x v="298"/>
    <x v="298"/>
    <n v="4808"/>
    <n v="370"/>
    <n v="10653.94"/>
    <n v="4.3223805456915537E-2"/>
    <n v="1.375488768718802"/>
    <n v="17.873918918918921"/>
    <n v="1.6109747707289044"/>
    <n v="4040.59"/>
    <n v="-661335"/>
    <x v="0"/>
    <x v="2"/>
  </r>
  <r>
    <s v="C0300"/>
    <x v="106"/>
    <x v="3"/>
    <x v="0"/>
    <n v="9274.35"/>
    <x v="299"/>
    <x v="299"/>
    <n v="5136"/>
    <n v="798"/>
    <n v="18007.07"/>
    <n v="2.6258608436907253E-2"/>
    <n v="1.4516471962616821"/>
    <n v="9.3429323308270682"/>
    <n v="2.4152214559140304"/>
    <n v="10551.41"/>
    <n v="-745566"/>
    <x v="0"/>
    <x v="3"/>
  </r>
  <r>
    <s v="C0301"/>
    <x v="97"/>
    <x v="3"/>
    <x v="2"/>
    <n v="4455.2"/>
    <x v="300"/>
    <x v="300"/>
    <n v="3380"/>
    <n v="512"/>
    <n v="13026.85"/>
    <n v="1.761278959490584E-2"/>
    <n v="1.0649763313609466"/>
    <n v="7.0305078124999998"/>
    <n v="3.6189514448747371"/>
    <n v="9427.23"/>
    <n v="-359962.00000000006"/>
    <x v="0"/>
    <x v="0"/>
  </r>
  <r>
    <s v="C0302"/>
    <x v="105"/>
    <x v="2"/>
    <x v="2"/>
    <n v="7081.29"/>
    <x v="301"/>
    <x v="301"/>
    <n v="4357"/>
    <n v="137"/>
    <n v="6408.88"/>
    <n v="2.6587500152556232E-2"/>
    <n v="1.5056919899013084"/>
    <n v="47.885401459854016"/>
    <n v="0.97691873847232591"/>
    <n v="-151.42000000000007"/>
    <n v="-656030"/>
    <x v="0"/>
    <x v="3"/>
  </r>
  <r>
    <s v="C0303"/>
    <x v="33"/>
    <x v="0"/>
    <x v="3"/>
    <n v="8722.1"/>
    <x v="302"/>
    <x v="302"/>
    <n v="7537"/>
    <n v="1161"/>
    <n v="32255.72"/>
    <n v="4.3530240724483665E-2"/>
    <n v="1.044459333952501"/>
    <n v="6.7804392764857884"/>
    <n v="4.0974785603315"/>
    <n v="24383.63"/>
    <n v="-787209"/>
    <x v="0"/>
    <x v="2"/>
  </r>
  <r>
    <s v="C0304"/>
    <x v="129"/>
    <x v="4"/>
    <x v="0"/>
    <n v="5657.85"/>
    <x v="303"/>
    <x v="303"/>
    <n v="4550"/>
    <n v="114"/>
    <n v="3196.78"/>
    <n v="3.4712156120783044E-2"/>
    <n v="1.2149934065934067"/>
    <n v="48.493157894736846"/>
    <n v="0.57826569854311149"/>
    <n v="-2331.44"/>
    <n v="-552822"/>
    <x v="0"/>
    <x v="1"/>
  </r>
  <r>
    <s v="C0305"/>
    <x v="147"/>
    <x v="1"/>
    <x v="3"/>
    <n v="7369.04"/>
    <x v="304"/>
    <x v="304"/>
    <n v="4129"/>
    <n v="453"/>
    <n v="16562.32"/>
    <n v="2.4093081335301702E-2"/>
    <n v="1.6469653669169291"/>
    <n v="15.011743929359822"/>
    <n v="2.4355206813796997"/>
    <n v="9762"/>
    <n v="-680032"/>
    <x v="0"/>
    <x v="3"/>
  </r>
  <r>
    <s v="C0306"/>
    <x v="51"/>
    <x v="3"/>
    <x v="1"/>
    <n v="6052.89"/>
    <x v="305"/>
    <x v="305"/>
    <n v="1135"/>
    <n v="149"/>
    <n v="7219.59"/>
    <n v="9.6000135330587249E-3"/>
    <n v="4.73746255506608"/>
    <n v="36.087382550335576"/>
    <n v="1.3426749389066805"/>
    <n v="1842.5699999999997"/>
    <n v="-537702"/>
    <x v="0"/>
    <x v="2"/>
  </r>
  <r>
    <s v="C0307"/>
    <x v="7"/>
    <x v="3"/>
    <x v="0"/>
    <n v="8345.24"/>
    <x v="306"/>
    <x v="306"/>
    <n v="2601"/>
    <n v="324"/>
    <n v="14921.51"/>
    <n v="2.7680224762148011E-2"/>
    <n v="2.7016455209534791"/>
    <n v="21.688209876543208"/>
    <n v="2.1234598646929408"/>
    <n v="7894.5300000000007"/>
    <n v="-702698"/>
    <x v="0"/>
    <x v="2"/>
  </r>
  <r>
    <s v="C0308"/>
    <x v="148"/>
    <x v="3"/>
    <x v="0"/>
    <n v="6412.02"/>
    <x v="307"/>
    <x v="307"/>
    <n v="6040"/>
    <n v="1020"/>
    <n v="44875.57"/>
    <n v="3.3509572974862276E-2"/>
    <n v="1.1341688741721854"/>
    <n v="6.7160588235294121"/>
    <n v="6.5508146993305481"/>
    <n v="38025.19"/>
    <n v="-685037.99999999977"/>
    <x v="0"/>
    <x v="4"/>
  </r>
  <r>
    <s v="C0309"/>
    <x v="149"/>
    <x v="0"/>
    <x v="0"/>
    <n v="5976.49"/>
    <x v="308"/>
    <x v="308"/>
    <n v="2915"/>
    <n v="337"/>
    <n v="9456.33"/>
    <n v="3.6146968738762199E-2"/>
    <n v="1.6540240137221267"/>
    <n v="14.307062314540058"/>
    <n v="1.9612919684412258"/>
    <n v="4634.8500000000004"/>
    <n v="-482147.99999999994"/>
    <x v="0"/>
    <x v="3"/>
  </r>
  <r>
    <s v="C0310"/>
    <x v="20"/>
    <x v="3"/>
    <x v="2"/>
    <n v="6791.44"/>
    <x v="309"/>
    <x v="309"/>
    <n v="7200"/>
    <n v="476"/>
    <n v="13202.64"/>
    <n v="4.1027277441265463E-2"/>
    <n v="0.93386388888888883"/>
    <n v="14.125672268907563"/>
    <n v="1.9635623797186719"/>
    <n v="6478.82"/>
    <n v="-672382"/>
    <x v="0"/>
    <x v="6"/>
  </r>
  <r>
    <s v="C0311"/>
    <x v="110"/>
    <x v="2"/>
    <x v="2"/>
    <n v="3975.49"/>
    <x v="310"/>
    <x v="310"/>
    <n v="1135"/>
    <n v="91"/>
    <n v="4507.42"/>
    <n v="9.0694794038914863E-3"/>
    <n v="3.6794449339207049"/>
    <n v="45.891978021978019"/>
    <n v="1.0793190890217592"/>
    <n v="331.25"/>
    <n v="-417617"/>
    <x v="0"/>
    <x v="0"/>
  </r>
  <r>
    <s v="C0312"/>
    <x v="70"/>
    <x v="4"/>
    <x v="3"/>
    <n v="6679.83"/>
    <x v="311"/>
    <x v="311"/>
    <n v="8448"/>
    <n v="669"/>
    <n v="18845.21"/>
    <n v="4.2772734407039679E-2"/>
    <n v="0.67328361742424236"/>
    <n v="8.5020926756352768"/>
    <n v="3.3132104994813552"/>
    <n v="13157.31"/>
    <n v="-568790"/>
    <x v="0"/>
    <x v="2"/>
  </r>
  <r>
    <s v="C0313"/>
    <x v="51"/>
    <x v="2"/>
    <x v="2"/>
    <n v="3128.73"/>
    <x v="312"/>
    <x v="312"/>
    <n v="1254"/>
    <n v="110"/>
    <n v="2588.58"/>
    <n v="7.9239703261844881E-3"/>
    <n v="2.6803508771929825"/>
    <n v="30.555999999999997"/>
    <n v="0.77014483095121922"/>
    <n v="-772.57999999999993"/>
    <n v="-336116"/>
    <x v="0"/>
    <x v="2"/>
  </r>
  <r>
    <s v="C0314"/>
    <x v="89"/>
    <x v="4"/>
    <x v="2"/>
    <n v="7035.62"/>
    <x v="313"/>
    <x v="313"/>
    <n v="1689"/>
    <n v="308"/>
    <n v="11280.6"/>
    <n v="3.3538522637013506E-2"/>
    <n v="3.674920071047957"/>
    <n v="20.152402597402595"/>
    <n v="1.8174172780790536"/>
    <n v="5073.6600000000008"/>
    <n v="-620694"/>
    <x v="0"/>
    <x v="1"/>
  </r>
  <r>
    <s v="C0315"/>
    <x v="104"/>
    <x v="2"/>
    <x v="0"/>
    <n v="7559.94"/>
    <x v="314"/>
    <x v="314"/>
    <n v="4803"/>
    <n v="235"/>
    <n v="6155.27"/>
    <n v="4.8775286375822569E-2"/>
    <n v="1.6510077035186341"/>
    <n v="33.74378723404255"/>
    <n v="0.7762210600785141"/>
    <n v="-1774.5199999999995"/>
    <n v="-792979"/>
    <x v="0"/>
    <x v="0"/>
  </r>
  <r>
    <s v="C0316"/>
    <x v="31"/>
    <x v="1"/>
    <x v="1"/>
    <n v="3076.97"/>
    <x v="315"/>
    <x v="315"/>
    <n v="6093"/>
    <n v="236"/>
    <n v="11092.13"/>
    <n v="3.9416228385118483E-2"/>
    <n v="0.42473822419169538"/>
    <n v="10.965805084745762"/>
    <n v="4.286101246942537"/>
    <n v="8504.1999999999989"/>
    <n v="-258793.00000000003"/>
    <x v="0"/>
    <x v="2"/>
  </r>
  <r>
    <s v="C0317"/>
    <x v="150"/>
    <x v="3"/>
    <x v="1"/>
    <n v="9117.23"/>
    <x v="316"/>
    <x v="316"/>
    <n v="3036"/>
    <n v="196"/>
    <n v="7451.04"/>
    <n v="4.42449503045848E-2"/>
    <n v="2.9406488801054018"/>
    <n v="45.550051020408162"/>
    <n v="0.83458765363510201"/>
    <n v="-1476.7699999999995"/>
    <n v="-892781"/>
    <x v="0"/>
    <x v="1"/>
  </r>
  <r>
    <s v="C0318"/>
    <x v="101"/>
    <x v="4"/>
    <x v="1"/>
    <n v="7655.26"/>
    <x v="317"/>
    <x v="317"/>
    <n v="4443"/>
    <n v="353"/>
    <n v="16743.62"/>
    <n v="4.6574768069605324E-2"/>
    <n v="1.4690434391177132"/>
    <n v="18.489971671388101"/>
    <n v="2.5653014573400172"/>
    <n v="10216.66"/>
    <n v="-652695.99999999988"/>
    <x v="0"/>
    <x v="1"/>
  </r>
  <r>
    <s v="C0319"/>
    <x v="89"/>
    <x v="3"/>
    <x v="0"/>
    <n v="5931.39"/>
    <x v="318"/>
    <x v="318"/>
    <n v="1775"/>
    <n v="84"/>
    <n v="2987.67"/>
    <n v="2.0364378972488009E-2"/>
    <n v="3.0573971830985918"/>
    <n v="64.605714285714285"/>
    <n v="0.55053179727578272"/>
    <n v="-2439.21"/>
    <n v="-542688"/>
    <x v="0"/>
    <x v="1"/>
  </r>
  <r>
    <s v="C0320"/>
    <x v="10"/>
    <x v="4"/>
    <x v="3"/>
    <n v="3328.76"/>
    <x v="319"/>
    <x v="319"/>
    <n v="1698"/>
    <n v="278"/>
    <n v="11715.2"/>
    <n v="3.1005770214009205E-2"/>
    <n v="1.666113074204947"/>
    <n v="10.176474820143884"/>
    <n v="4.1410221062826524"/>
    <n v="8886.1400000000012"/>
    <n v="-282905.99999999994"/>
    <x v="0"/>
    <x v="2"/>
  </r>
  <r>
    <s v="C0321"/>
    <x v="94"/>
    <x v="1"/>
    <x v="3"/>
    <n v="3579.59"/>
    <x v="320"/>
    <x v="320"/>
    <n v="6294"/>
    <n v="311"/>
    <n v="8509.11"/>
    <n v="4.4331436299092801E-2"/>
    <n v="0.55789323164918969"/>
    <n v="11.290610932475884"/>
    <n v="2.423295114741213"/>
    <n v="4997.7300000000005"/>
    <n v="-351138"/>
    <x v="0"/>
    <x v="0"/>
  </r>
  <r>
    <s v="C0322"/>
    <x v="58"/>
    <x v="1"/>
    <x v="2"/>
    <n v="5725.07"/>
    <x v="321"/>
    <x v="321"/>
    <n v="1524"/>
    <n v="66"/>
    <n v="2024.23"/>
    <n v="1.7893834611184822E-2"/>
    <n v="3.3306364829396329"/>
    <n v="76.907424242424241"/>
    <n v="0.39879311805417372"/>
    <n v="-3051.6600000000003"/>
    <n v="-507589.00000000006"/>
    <x v="0"/>
    <x v="2"/>
  </r>
  <r>
    <s v="C0323"/>
    <x v="151"/>
    <x v="4"/>
    <x v="3"/>
    <n v="8033.32"/>
    <x v="322"/>
    <x v="322"/>
    <n v="1081"/>
    <n v="182"/>
    <n v="6732.57"/>
    <n v="1.4373853150014626E-2"/>
    <n v="6.607511563367253"/>
    <n v="39.245714285714286"/>
    <n v="0.94257789749563181"/>
    <n v="-410.15000000000055"/>
    <n v="-714272"/>
    <x v="0"/>
    <x v="2"/>
  </r>
  <r>
    <s v="C0324"/>
    <x v="152"/>
    <x v="1"/>
    <x v="3"/>
    <n v="6332.35"/>
    <x v="323"/>
    <x v="323"/>
    <n v="8158"/>
    <n v="162"/>
    <n v="7792.99"/>
    <n v="4.3960425917144455E-2"/>
    <n v="0.77551605785731792"/>
    <n v="39.053456790123455"/>
    <n v="1.2317700018651232"/>
    <n v="1466.33"/>
    <n v="-632666"/>
    <x v="0"/>
    <x v="1"/>
  </r>
  <r>
    <s v="C0325"/>
    <x v="123"/>
    <x v="1"/>
    <x v="2"/>
    <n v="8128"/>
    <x v="324"/>
    <x v="324"/>
    <n v="6177"/>
    <n v="381"/>
    <n v="7976.42"/>
    <n v="3.9376051812943035E-2"/>
    <n v="1.1375279261777562"/>
    <n v="18.44228346456693"/>
    <n v="1.1351894468235297"/>
    <n v="949.90999999999985"/>
    <n v="-702651"/>
    <x v="1"/>
    <x v="5"/>
  </r>
  <r>
    <s v="C0326"/>
    <x v="52"/>
    <x v="2"/>
    <x v="1"/>
    <n v="4835.8500000000004"/>
    <x v="325"/>
    <x v="325"/>
    <n v="2331"/>
    <n v="196"/>
    <n v="4222.38"/>
    <n v="2.023226747213832E-2"/>
    <n v="2.03002574002574"/>
    <n v="24.142806122448977"/>
    <n v="0.89230535144833367"/>
    <n v="-509.60999999999967"/>
    <n v="-473199"/>
    <x v="0"/>
    <x v="3"/>
  </r>
  <r>
    <s v="C0327"/>
    <x v="29"/>
    <x v="0"/>
    <x v="3"/>
    <n v="6474.56"/>
    <x v="326"/>
    <x v="326"/>
    <n v="3157"/>
    <n v="459"/>
    <n v="13782.54"/>
    <n v="2.9632063074901446E-2"/>
    <n v="2.0078999049730757"/>
    <n v="13.810326797385621"/>
    <n v="2.1742657289704592"/>
    <n v="7443.6000000000013"/>
    <n v="-633894"/>
    <x v="0"/>
    <x v="4"/>
  </r>
  <r>
    <s v="C0328"/>
    <x v="81"/>
    <x v="1"/>
    <x v="1"/>
    <n v="8396.39"/>
    <x v="327"/>
    <x v="327"/>
    <n v="2560"/>
    <n v="409"/>
    <n v="9101.94"/>
    <n v="2.3132460444396253E-2"/>
    <n v="2.7287578125"/>
    <n v="17.079755501222493"/>
    <n v="1.3029537821982875"/>
    <n v="2116.3200000000006"/>
    <n v="-698562"/>
    <x v="1"/>
    <x v="5"/>
  </r>
  <r>
    <s v="C0329"/>
    <x v="141"/>
    <x v="3"/>
    <x v="2"/>
    <n v="8097.32"/>
    <x v="328"/>
    <x v="328"/>
    <n v="2247"/>
    <n v="275"/>
    <n v="11179.32"/>
    <n v="2.9350296507223282E-2"/>
    <n v="3.418558077436582"/>
    <n v="27.932727272727274"/>
    <n v="1.4553563757078696"/>
    <n v="3497.8199999999997"/>
    <n v="-768150"/>
    <x v="0"/>
    <x v="0"/>
  </r>
  <r>
    <s v="C0330"/>
    <x v="123"/>
    <x v="1"/>
    <x v="3"/>
    <n v="6043.79"/>
    <x v="329"/>
    <x v="329"/>
    <n v="3585"/>
    <n v="478"/>
    <n v="21305.93"/>
    <n v="4.2917684240770006E-2"/>
    <n v="1.4733026499302651"/>
    <n v="11.049769874476988"/>
    <n v="4.0338464800758835"/>
    <n v="16024.14"/>
    <n v="-528179.00000000012"/>
    <x v="1"/>
    <x v="5"/>
  </r>
  <r>
    <s v="C0331"/>
    <x v="140"/>
    <x v="0"/>
    <x v="1"/>
    <n v="8595.91"/>
    <x v="330"/>
    <x v="330"/>
    <n v="5998"/>
    <n v="629"/>
    <n v="17715.38"/>
    <n v="3.9987199829331056E-2"/>
    <n v="1.4451800600200067"/>
    <n v="13.780906200317967"/>
    <n v="2.0437230840579175"/>
    <n v="9047.19"/>
    <n v="-866819"/>
    <x v="0"/>
    <x v="4"/>
  </r>
  <r>
    <s v="C0332"/>
    <x v="153"/>
    <x v="1"/>
    <x v="0"/>
    <n v="7131.61"/>
    <x v="331"/>
    <x v="331"/>
    <n v="2743"/>
    <n v="78"/>
    <n v="1774.3"/>
    <n v="1.5960572788474407E-2"/>
    <n v="2.3614983594604446"/>
    <n v="83.046025641025636"/>
    <n v="0.27391360058293285"/>
    <n v="-4703.29"/>
    <n v="-647759"/>
    <x v="0"/>
    <x v="3"/>
  </r>
  <r>
    <s v="C0333"/>
    <x v="15"/>
    <x v="1"/>
    <x v="1"/>
    <n v="9421.2000000000007"/>
    <x v="332"/>
    <x v="332"/>
    <n v="4858"/>
    <n v="347"/>
    <n v="16831.97"/>
    <n v="4.3527345709984948E-2"/>
    <n v="1.631053931659119"/>
    <n v="22.834755043227666"/>
    <n v="2.1242670685011724"/>
    <n v="8908.3100000000013"/>
    <n v="-792366"/>
    <x v="0"/>
    <x v="3"/>
  </r>
  <r>
    <s v="C0334"/>
    <x v="86"/>
    <x v="1"/>
    <x v="2"/>
    <n v="6122.04"/>
    <x v="333"/>
    <x v="333"/>
    <n v="2448"/>
    <n v="149"/>
    <n v="5402.3"/>
    <n v="2.1220159151193633E-2"/>
    <n v="2.1395629084967318"/>
    <n v="35.15201342281879"/>
    <n v="1.0314358538657604"/>
    <n v="164.65000000000055"/>
    <n v="-523764.99999999994"/>
    <x v="0"/>
    <x v="2"/>
  </r>
  <r>
    <s v="C0335"/>
    <x v="154"/>
    <x v="1"/>
    <x v="1"/>
    <n v="9110.6200000000008"/>
    <x v="334"/>
    <x v="334"/>
    <n v="1929"/>
    <n v="275"/>
    <n v="12154.13"/>
    <n v="1.161789239747767E-2"/>
    <n v="4.8158631415241056"/>
    <n v="33.781090909090906"/>
    <n v="1.3083306422097354"/>
    <n v="2864.33"/>
    <n v="-928979.99999999988"/>
    <x v="0"/>
    <x v="0"/>
  </r>
  <r>
    <s v="C0336"/>
    <x v="100"/>
    <x v="0"/>
    <x v="2"/>
    <n v="7611.48"/>
    <x v="335"/>
    <x v="335"/>
    <n v="3243"/>
    <n v="205"/>
    <n v="9322.5499999999993"/>
    <n v="2.7937869898948132E-2"/>
    <n v="2.3650817144619181"/>
    <n v="37.414439024390241"/>
    <n v="1.2154626621260083"/>
    <n v="1652.5899999999992"/>
    <n v="-766996"/>
    <x v="0"/>
    <x v="0"/>
  </r>
  <r>
    <s v="C0337"/>
    <x v="89"/>
    <x v="0"/>
    <x v="3"/>
    <n v="4747.68"/>
    <x v="336"/>
    <x v="336"/>
    <n v="1270"/>
    <n v="110"/>
    <n v="2929.99"/>
    <n v="1.869131369028346E-2"/>
    <n v="3.5395511811023619"/>
    <n v="40.86572727272727"/>
    <n v="0.65179979667336263"/>
    <n v="-1565.2399999999998"/>
    <n v="-449522.99999999994"/>
    <x v="0"/>
    <x v="1"/>
  </r>
  <r>
    <s v="C0338"/>
    <x v="109"/>
    <x v="2"/>
    <x v="0"/>
    <n v="9913.68"/>
    <x v="337"/>
    <x v="337"/>
    <n v="4068"/>
    <n v="400"/>
    <n v="8473.1200000000008"/>
    <n v="3.2820479721171143E-2"/>
    <n v="2.6397910521140608"/>
    <n v="26.846675000000001"/>
    <n v="0.78902880896796357"/>
    <n v="-2265.5499999999993"/>
    <n v="-1073867"/>
    <x v="1"/>
    <x v="5"/>
  </r>
  <r>
    <s v="C0339"/>
    <x v="155"/>
    <x v="4"/>
    <x v="0"/>
    <n v="7939.03"/>
    <x v="338"/>
    <x v="338"/>
    <n v="3348"/>
    <n v="275"/>
    <n v="6989.75"/>
    <n v="4.8776934395897378E-2"/>
    <n v="2.5552270011947429"/>
    <n v="31.108727272727272"/>
    <n v="0.81704637108557676"/>
    <n v="-1565.1499999999996"/>
    <n v="-855490"/>
    <x v="0"/>
    <x v="0"/>
  </r>
  <r>
    <s v="C0340"/>
    <x v="156"/>
    <x v="3"/>
    <x v="1"/>
    <n v="6975.62"/>
    <x v="339"/>
    <x v="339"/>
    <n v="6076"/>
    <n v="478"/>
    <n v="10046.790000000001"/>
    <n v="3.8326405227933617E-2"/>
    <n v="1.2337606978275182"/>
    <n v="15.682698744769874"/>
    <n v="1.3402278181456795"/>
    <n v="2550.4600000000009"/>
    <n v="-749633"/>
    <x v="0"/>
    <x v="1"/>
  </r>
  <r>
    <s v="C0341"/>
    <x v="38"/>
    <x v="1"/>
    <x v="0"/>
    <n v="7881.94"/>
    <x v="340"/>
    <x v="340"/>
    <n v="3598"/>
    <n v="369"/>
    <n v="17613.07"/>
    <n v="4.8022636573548841E-2"/>
    <n v="1.9479321845469706"/>
    <n v="18.993658536585365"/>
    <n v="2.5130438628782108"/>
    <n v="10604.41"/>
    <n v="-700866"/>
    <x v="0"/>
    <x v="2"/>
  </r>
  <r>
    <s v="C0342"/>
    <x v="19"/>
    <x v="3"/>
    <x v="2"/>
    <n v="9797.41"/>
    <x v="341"/>
    <x v="341"/>
    <n v="4588"/>
    <n v="657"/>
    <n v="22486.76"/>
    <n v="2.3294779491657952E-2"/>
    <n v="2.3132824760244115"/>
    <n v="16.154246575342466"/>
    <n v="2.1187260560765977"/>
    <n v="11873.419999999998"/>
    <n v="-1061334"/>
    <x v="0"/>
    <x v="0"/>
  </r>
  <r>
    <s v="C0343"/>
    <x v="82"/>
    <x v="2"/>
    <x v="1"/>
    <n v="9034.2999999999993"/>
    <x v="342"/>
    <x v="342"/>
    <n v="1528"/>
    <n v="148"/>
    <n v="4376.8100000000004"/>
    <n v="1.4704750173223497E-2"/>
    <n v="6.228017015706806"/>
    <n v="64.300067567567567"/>
    <n v="0.45992238669834534"/>
    <n v="-5139.5999999999995"/>
    <n v="-951641"/>
    <x v="0"/>
    <x v="3"/>
  </r>
  <r>
    <s v="C0344"/>
    <x v="126"/>
    <x v="0"/>
    <x v="2"/>
    <n v="8802.41"/>
    <x v="343"/>
    <x v="343"/>
    <n v="1109"/>
    <n v="182"/>
    <n v="6895.63"/>
    <n v="8.1925432343185559E-3"/>
    <n v="6.4379170423805228"/>
    <n v="39.228846153846149"/>
    <n v="0.96582185401245169"/>
    <n v="-244.01999999999953"/>
    <n v="-713965"/>
    <x v="1"/>
    <x v="5"/>
  </r>
  <r>
    <s v="C0345"/>
    <x v="23"/>
    <x v="2"/>
    <x v="3"/>
    <n v="4610.0600000000004"/>
    <x v="344"/>
    <x v="344"/>
    <n v="3322"/>
    <n v="278"/>
    <n v="6201.79"/>
    <n v="2.1532697680146748E-2"/>
    <n v="1.160382299819386"/>
    <n v="13.86615107913669"/>
    <n v="1.6088528817393424"/>
    <n v="2347"/>
    <n v="-385479"/>
    <x v="0"/>
    <x v="2"/>
  </r>
  <r>
    <s v="C0346"/>
    <x v="128"/>
    <x v="2"/>
    <x v="3"/>
    <n v="7874.02"/>
    <x v="345"/>
    <x v="345"/>
    <n v="7907"/>
    <n v="784"/>
    <n v="32726.51"/>
    <n v="4.0575560242416778E-2"/>
    <n v="0.89820032882256229"/>
    <n v="9.0587627551020411"/>
    <n v="4.6080241394410359"/>
    <n v="25624.44"/>
    <n v="-710207"/>
    <x v="0"/>
    <x v="4"/>
  </r>
  <r>
    <s v="C0347"/>
    <x v="40"/>
    <x v="1"/>
    <x v="2"/>
    <n v="3457.49"/>
    <x v="346"/>
    <x v="346"/>
    <n v="1092"/>
    <n v="199"/>
    <n v="7200.76"/>
    <n v="1.9015445696275272E-2"/>
    <n v="2.8324450549450551"/>
    <n v="15.542864321608041"/>
    <n v="2.3280601869364346"/>
    <n v="4107.7299999999996"/>
    <n v="-309303.00000000006"/>
    <x v="0"/>
    <x v="0"/>
  </r>
  <r>
    <s v="C0348"/>
    <x v="30"/>
    <x v="0"/>
    <x v="3"/>
    <n v="8535.06"/>
    <x v="347"/>
    <x v="347"/>
    <n v="2108"/>
    <n v="210"/>
    <n v="8143.12"/>
    <n v="1.0960271615080253E-2"/>
    <n v="3.6262903225806453"/>
    <n v="36.401047619047617"/>
    <n v="1.0652649976060342"/>
    <n v="498.89999999999964"/>
    <n v="-764422"/>
    <x v="1"/>
    <x v="5"/>
  </r>
  <r>
    <s v="C0349"/>
    <x v="3"/>
    <x v="1"/>
    <x v="0"/>
    <n v="9201.84"/>
    <x v="348"/>
    <x v="348"/>
    <n v="2170"/>
    <n v="345"/>
    <n v="9311.1299999999992"/>
    <n v="3.2775495408409863E-2"/>
    <n v="4.1758479262672807"/>
    <n v="26.265478260869564"/>
    <n v="1.0275382134923341"/>
    <n v="249.53999999999905"/>
    <n v="-906159"/>
    <x v="0"/>
    <x v="0"/>
  </r>
  <r>
    <s v="C0350"/>
    <x v="42"/>
    <x v="4"/>
    <x v="3"/>
    <n v="3170.81"/>
    <x v="349"/>
    <x v="349"/>
    <n v="4867"/>
    <n v="162"/>
    <n v="3343.37"/>
    <n v="3.6856413712675971E-2"/>
    <n v="0.69125128415861936"/>
    <n v="20.767407407407408"/>
    <n v="0.99377288724021484"/>
    <n v="-20.950000000000273"/>
    <n v="-336432"/>
    <x v="0"/>
    <x v="3"/>
  </r>
  <r>
    <s v="C0351"/>
    <x v="147"/>
    <x v="4"/>
    <x v="0"/>
    <n v="9122.91"/>
    <x v="350"/>
    <x v="350"/>
    <n v="8454"/>
    <n v="371"/>
    <n v="17871.82"/>
    <n v="4.3197228509966427E-2"/>
    <n v="1.0345351312987934"/>
    <n v="23.574016172506735"/>
    <n v="2.0434371984321906"/>
    <n v="9125.86"/>
    <n v="-874595.99999999988"/>
    <x v="0"/>
    <x v="3"/>
  </r>
  <r>
    <s v="C0352"/>
    <x v="120"/>
    <x v="0"/>
    <x v="3"/>
    <n v="8591.48"/>
    <x v="351"/>
    <x v="351"/>
    <n v="4278"/>
    <n v="149"/>
    <n v="4547.68"/>
    <n v="4.0001496082134907E-2"/>
    <n v="2.2078775128564749"/>
    <n v="63.391275167785231"/>
    <n v="0.48147544281282761"/>
    <n v="-4897.619999999999"/>
    <n v="-944529.99999999988"/>
    <x v="0"/>
    <x v="2"/>
  </r>
  <r>
    <s v="C0353"/>
    <x v="101"/>
    <x v="0"/>
    <x v="2"/>
    <n v="8370.32"/>
    <x v="352"/>
    <x v="352"/>
    <n v="6373"/>
    <n v="533"/>
    <n v="18333.21"/>
    <n v="3.7392773742328411E-2"/>
    <n v="1.2090914796798995"/>
    <n v="14.456923076923077"/>
    <n v="2.3792245579154736"/>
    <n v="10627.669999999998"/>
    <n v="-770554.00000000012"/>
    <x v="0"/>
    <x v="1"/>
  </r>
  <r>
    <s v="C0354"/>
    <x v="37"/>
    <x v="0"/>
    <x v="3"/>
    <n v="7392.54"/>
    <x v="353"/>
    <x v="353"/>
    <n v="1074"/>
    <n v="134"/>
    <n v="6636.02"/>
    <n v="1.7400038882768452E-2"/>
    <n v="7.3106517690875235"/>
    <n v="58.594328358208955"/>
    <n v="0.84517629437926345"/>
    <n v="-1215.6199999999999"/>
    <n v="-785164"/>
    <x v="1"/>
    <x v="5"/>
  </r>
  <r>
    <s v="C0355"/>
    <x v="70"/>
    <x v="4"/>
    <x v="3"/>
    <n v="8377.91"/>
    <x v="354"/>
    <x v="354"/>
    <n v="1009"/>
    <n v="129"/>
    <n v="4210.6499999999996"/>
    <n v="5.1806820632361548E-3"/>
    <n v="7.683181367690783"/>
    <n v="60.095581395348837"/>
    <n v="0.54314638308740726"/>
    <n v="-3541.6800000000003"/>
    <n v="-775233"/>
    <x v="0"/>
    <x v="2"/>
  </r>
  <r>
    <s v="C0356"/>
    <x v="89"/>
    <x v="2"/>
    <x v="2"/>
    <n v="8163.08"/>
    <x v="355"/>
    <x v="355"/>
    <n v="3527"/>
    <n v="426"/>
    <n v="9931.86"/>
    <n v="1.8734828082588348E-2"/>
    <n v="2.0173546923731216"/>
    <n v="16.702370892018781"/>
    <n v="1.3958632282111141"/>
    <n v="2816.6500000000005"/>
    <n v="-711521"/>
    <x v="0"/>
    <x v="1"/>
  </r>
  <r>
    <s v="C0357"/>
    <x v="63"/>
    <x v="0"/>
    <x v="0"/>
    <n v="5482.36"/>
    <x v="356"/>
    <x v="356"/>
    <n v="3662"/>
    <n v="233"/>
    <n v="6731.19"/>
    <n v="3.690639361444812E-2"/>
    <n v="1.3266821409066085"/>
    <n v="20.851115879828328"/>
    <n v="1.3855003077201742"/>
    <n v="1872.8799999999992"/>
    <n v="-485831.00000000006"/>
    <x v="0"/>
    <x v="6"/>
  </r>
  <r>
    <s v="C0358"/>
    <x v="133"/>
    <x v="3"/>
    <x v="0"/>
    <n v="4635.25"/>
    <x v="357"/>
    <x v="357"/>
    <n v="3984"/>
    <n v="764"/>
    <n v="15689.67"/>
    <n v="4.793704652925676E-2"/>
    <n v="0.9454643574297189"/>
    <n v="4.9302748691099474"/>
    <n v="4.1653290785376171"/>
    <n v="11922.94"/>
    <n v="-376672.99999999994"/>
    <x v="0"/>
    <x v="3"/>
  </r>
  <r>
    <s v="C0359"/>
    <x v="62"/>
    <x v="0"/>
    <x v="0"/>
    <n v="9914.06"/>
    <x v="358"/>
    <x v="358"/>
    <n v="2013"/>
    <n v="234"/>
    <n v="7377.97"/>
    <n v="1.8023422390946207E-2"/>
    <n v="4.5720516641828119"/>
    <n v="39.331367521367525"/>
    <n v="0.80164480189144605"/>
    <n v="-1825.5700000000006"/>
    <n v="-920354.00000000012"/>
    <x v="0"/>
    <x v="4"/>
  </r>
  <r>
    <s v="C0360"/>
    <x v="43"/>
    <x v="4"/>
    <x v="1"/>
    <n v="7757.53"/>
    <x v="359"/>
    <x v="359"/>
    <n v="3399"/>
    <n v="139"/>
    <n v="6741.34"/>
    <n v="2.5203728283195288E-2"/>
    <n v="1.9752750809061488"/>
    <n v="48.301870503597122"/>
    <n v="1.0040780701702126"/>
    <n v="27.380000000000109"/>
    <n v="-671396"/>
    <x v="0"/>
    <x v="4"/>
  </r>
  <r>
    <s v="C0361"/>
    <x v="53"/>
    <x v="2"/>
    <x v="3"/>
    <n v="8504.42"/>
    <x v="360"/>
    <x v="360"/>
    <n v="1932"/>
    <n v="64"/>
    <n v="2081.7600000000002"/>
    <n v="1.0926365795724466E-2"/>
    <n v="3.6395703933747412"/>
    <n v="109.86953124999999"/>
    <n v="0.29605569105402008"/>
    <n v="-4949.8899999999994"/>
    <n v="-703165"/>
    <x v="1"/>
    <x v="5"/>
  </r>
  <r>
    <s v="C0362"/>
    <x v="100"/>
    <x v="2"/>
    <x v="3"/>
    <n v="9153.83"/>
    <x v="361"/>
    <x v="361"/>
    <n v="2059"/>
    <n v="67"/>
    <n v="2279.48"/>
    <n v="2.3834604743769316E-2"/>
    <n v="4.8166294317629923"/>
    <n v="148.02149253731343"/>
    <n v="0.22984560531750128"/>
    <n v="-7637.9600000000009"/>
    <n v="-991744"/>
    <x v="0"/>
    <x v="0"/>
  </r>
  <r>
    <s v="C0363"/>
    <x v="114"/>
    <x v="2"/>
    <x v="3"/>
    <n v="7293.88"/>
    <x v="362"/>
    <x v="362"/>
    <n v="2126"/>
    <n v="397"/>
    <n v="19744.82"/>
    <n v="3.979037993636534E-2"/>
    <n v="2.9165569143932268"/>
    <n v="15.618639798488665"/>
    <n v="3.1843402251395023"/>
    <n v="13544.22"/>
    <n v="-620060"/>
    <x v="0"/>
    <x v="2"/>
  </r>
  <r>
    <s v="C0364"/>
    <x v="150"/>
    <x v="0"/>
    <x v="3"/>
    <n v="4621.7"/>
    <x v="363"/>
    <x v="363"/>
    <n v="4651"/>
    <n v="231"/>
    <n v="9122.0499999999993"/>
    <n v="2.8198816510646554E-2"/>
    <n v="1.0759987099548485"/>
    <n v="21.664372294372296"/>
    <n v="1.8227804342917429"/>
    <n v="4117.579999999999"/>
    <n v="-500447"/>
    <x v="0"/>
    <x v="1"/>
  </r>
  <r>
    <s v="C0365"/>
    <x v="42"/>
    <x v="2"/>
    <x v="3"/>
    <n v="7254.16"/>
    <x v="364"/>
    <x v="364"/>
    <n v="4601"/>
    <n v="244"/>
    <n v="6568.5"/>
    <n v="3.0123479422278672E-2"/>
    <n v="1.503818735057596"/>
    <n v="28.35684426229508"/>
    <n v="0.94933278605361704"/>
    <n v="-350.56999999999971"/>
    <n v="-691907"/>
    <x v="0"/>
    <x v="3"/>
  </r>
  <r>
    <s v="C0366"/>
    <x v="157"/>
    <x v="2"/>
    <x v="3"/>
    <n v="4235.7"/>
    <x v="365"/>
    <x v="365"/>
    <n v="1398"/>
    <n v="241"/>
    <n v="6167.95"/>
    <n v="1.8173073173268162E-2"/>
    <n v="2.6242703862660943"/>
    <n v="15.222946058091287"/>
    <n v="1.6812221122840874"/>
    <n v="2499.2199999999998"/>
    <n v="-366873"/>
    <x v="0"/>
    <x v="4"/>
  </r>
  <r>
    <s v="C0367"/>
    <x v="158"/>
    <x v="3"/>
    <x v="2"/>
    <n v="8457.09"/>
    <x v="366"/>
    <x v="366"/>
    <n v="1438"/>
    <n v="105"/>
    <n v="2282.1999999999998"/>
    <n v="2.0783650580294556E-2"/>
    <n v="5.3226564673157162"/>
    <n v="72.895047619047617"/>
    <n v="0.29817167016375795"/>
    <n v="-5371.78"/>
    <n v="-765398"/>
    <x v="0"/>
    <x v="3"/>
  </r>
  <r>
    <s v="C0368"/>
    <x v="52"/>
    <x v="3"/>
    <x v="0"/>
    <n v="9783.7199999999993"/>
    <x v="367"/>
    <x v="367"/>
    <n v="3954"/>
    <n v="611"/>
    <n v="29225.7"/>
    <n v="3.0892314423445033E-2"/>
    <n v="2.6355563985837125"/>
    <n v="17.055630114566284"/>
    <n v="2.8045032189839931"/>
    <n v="18804.71"/>
    <n v="-1042099.0000000001"/>
    <x v="0"/>
    <x v="3"/>
  </r>
  <r>
    <s v="C0369"/>
    <x v="83"/>
    <x v="1"/>
    <x v="2"/>
    <n v="9964.35"/>
    <x v="368"/>
    <x v="368"/>
    <n v="5305"/>
    <n v="1051"/>
    <n v="33513.51"/>
    <n v="4.2440679050864814E-2"/>
    <n v="1.6006239396795474"/>
    <n v="8.0792673644148429"/>
    <n v="3.9468009058672928"/>
    <n v="25022.200000000004"/>
    <n v="-849130.99999999977"/>
    <x v="0"/>
    <x v="3"/>
  </r>
  <r>
    <s v="C0370"/>
    <x v="43"/>
    <x v="0"/>
    <x v="0"/>
    <n v="8307.67"/>
    <x v="369"/>
    <x v="369"/>
    <n v="2601"/>
    <n v="369"/>
    <n v="9083.6299999999992"/>
    <n v="2.4190848214285715E-2"/>
    <n v="3.222156862745098"/>
    <n v="22.712276422764226"/>
    <n v="1.0838580426998279"/>
    <n v="702.79999999999927"/>
    <n v="-838083"/>
    <x v="0"/>
    <x v="4"/>
  </r>
  <r>
    <s v="C0371"/>
    <x v="146"/>
    <x v="2"/>
    <x v="3"/>
    <n v="8710.83"/>
    <x v="370"/>
    <x v="370"/>
    <n v="2015"/>
    <n v="234"/>
    <n v="6251.2"/>
    <n v="1.7105844001494109E-2"/>
    <n v="3.749468982630273"/>
    <n v="32.28709401709402"/>
    <n v="0.82740583281933711"/>
    <n v="-1303.9800000000005"/>
    <n v="-755518"/>
    <x v="1"/>
    <x v="5"/>
  </r>
  <r>
    <s v="C0372"/>
    <x v="138"/>
    <x v="4"/>
    <x v="2"/>
    <n v="6758.82"/>
    <x v="371"/>
    <x v="371"/>
    <n v="2121"/>
    <n v="213"/>
    <n v="7966.75"/>
    <n v="3.7595051137068611E-2"/>
    <n v="3.116138613861386"/>
    <n v="31.029718309859156"/>
    <n v="1.2053793652306664"/>
    <n v="1357.42"/>
    <n v="-660933"/>
    <x v="0"/>
    <x v="4"/>
  </r>
  <r>
    <s v="C0373"/>
    <x v="60"/>
    <x v="1"/>
    <x v="1"/>
    <n v="3640.41"/>
    <x v="372"/>
    <x v="372"/>
    <n v="6315"/>
    <n v="1233"/>
    <n v="34484.550000000003"/>
    <n v="4.7424507543613277E-2"/>
    <n v="0.61292478226444969"/>
    <n v="3.1391889699918898"/>
    <n v="8.9093091029344151"/>
    <n v="30613.930000000004"/>
    <n v="-387061.99999999988"/>
    <x v="0"/>
    <x v="4"/>
  </r>
  <r>
    <s v="C0374"/>
    <x v="39"/>
    <x v="4"/>
    <x v="3"/>
    <n v="3906.6"/>
    <x v="373"/>
    <x v="373"/>
    <n v="5850"/>
    <n v="633"/>
    <n v="30807.82"/>
    <n v="3.1668868149238867E-2"/>
    <n v="0.71228547008547005"/>
    <n v="6.5827330173775671"/>
    <n v="7.3935159964193753"/>
    <n v="26640.95"/>
    <n v="-416686.99999999988"/>
    <x v="0"/>
    <x v="0"/>
  </r>
  <r>
    <s v="C0375"/>
    <x v="142"/>
    <x v="1"/>
    <x v="1"/>
    <n v="9034.89"/>
    <x v="374"/>
    <x v="374"/>
    <n v="7103"/>
    <n v="104"/>
    <n v="4124.3500000000004"/>
    <n v="3.8461121940654104E-2"/>
    <n v="1.3264930311136141"/>
    <n v="90.596923076923076"/>
    <n v="0.43773243275370199"/>
    <n v="-5297.73"/>
    <n v="-942208"/>
    <x v="1"/>
    <x v="5"/>
  </r>
  <r>
    <s v="C0376"/>
    <x v="149"/>
    <x v="4"/>
    <x v="0"/>
    <n v="6856"/>
    <x v="375"/>
    <x v="375"/>
    <n v="2861"/>
    <n v="262"/>
    <n v="8450.44"/>
    <n v="3.2130182830959975E-2"/>
    <n v="1.979626004893394"/>
    <n v="21.617213740458016"/>
    <n v="1.4920326076017312"/>
    <n v="2786.7300000000005"/>
    <n v="-566371"/>
    <x v="0"/>
    <x v="3"/>
  </r>
  <r>
    <s v="C0377"/>
    <x v="57"/>
    <x v="4"/>
    <x v="3"/>
    <n v="5608.82"/>
    <x v="376"/>
    <x v="376"/>
    <n v="1999"/>
    <n v="79"/>
    <n v="3294.51"/>
    <n v="1.3682315658345939E-2"/>
    <n v="2.4632966483241621"/>
    <n v="62.33075949367089"/>
    <n v="0.66905422886885602"/>
    <n v="-1629.62"/>
    <n v="-492413"/>
    <x v="1"/>
    <x v="5"/>
  </r>
  <r>
    <s v="C0378"/>
    <x v="129"/>
    <x v="1"/>
    <x v="1"/>
    <n v="6471.13"/>
    <x v="377"/>
    <x v="377"/>
    <n v="4881"/>
    <n v="864"/>
    <n v="22987.15"/>
    <n v="3.7416061079937446E-2"/>
    <n v="1.0928580208973571"/>
    <n v="6.1738888888888885"/>
    <n v="4.3093580341341973"/>
    <n v="17652.910000000003"/>
    <n v="-533423.99999999977"/>
    <x v="0"/>
    <x v="1"/>
  </r>
  <r>
    <s v="C0379"/>
    <x v="21"/>
    <x v="2"/>
    <x v="3"/>
    <n v="7782.81"/>
    <x v="378"/>
    <x v="378"/>
    <n v="5035"/>
    <n v="407"/>
    <n v="18533.240000000002"/>
    <n v="4.3466249989208977E-2"/>
    <n v="1.271896722939424"/>
    <n v="15.734643734643734"/>
    <n v="2.8940099937539041"/>
    <n v="12129.240000000002"/>
    <n v="-640400"/>
    <x v="0"/>
    <x v="2"/>
  </r>
  <r>
    <s v="C0380"/>
    <x v="93"/>
    <x v="0"/>
    <x v="0"/>
    <n v="6466.03"/>
    <x v="379"/>
    <x v="379"/>
    <n v="6823"/>
    <n v="526"/>
    <n v="19868.189999999999"/>
    <n v="3.6639655459432173E-2"/>
    <n v="0.89477795691044992"/>
    <n v="11.606596958174904"/>
    <n v="3.2543754617064176"/>
    <n v="13763.119999999999"/>
    <n v="-610507"/>
    <x v="0"/>
    <x v="0"/>
  </r>
  <r>
    <s v="C0381"/>
    <x v="43"/>
    <x v="2"/>
    <x v="2"/>
    <n v="8772.77"/>
    <x v="380"/>
    <x v="380"/>
    <n v="3343"/>
    <n v="448"/>
    <n v="18072.54"/>
    <n v="2.0255204672693341E-2"/>
    <n v="2.3731947352677238"/>
    <n v="17.708906250000002"/>
    <n v="2.2779775612301618"/>
    <n v="10138.950000000001"/>
    <n v="-793359"/>
    <x v="0"/>
    <x v="4"/>
  </r>
  <r>
    <s v="C0382"/>
    <x v="96"/>
    <x v="0"/>
    <x v="2"/>
    <n v="6960.12"/>
    <x v="381"/>
    <x v="381"/>
    <n v="4787"/>
    <n v="615"/>
    <n v="28510.720000000001"/>
    <n v="2.6411763083119533E-2"/>
    <n v="1.2796448715270523"/>
    <n v="9.9604227642276424"/>
    <n v="4.6543099029329085"/>
    <n v="22385.06"/>
    <n v="-612566"/>
    <x v="0"/>
    <x v="2"/>
  </r>
  <r>
    <s v="C0383"/>
    <x v="159"/>
    <x v="3"/>
    <x v="3"/>
    <n v="8581.98"/>
    <x v="382"/>
    <x v="382"/>
    <n v="4106"/>
    <n v="468"/>
    <n v="21302.17"/>
    <n v="3.284116903684034E-2"/>
    <n v="2.084956161714564"/>
    <n v="18.292371794871794"/>
    <n v="2.4883299866952151"/>
    <n v="12741.339999999998"/>
    <n v="-856083"/>
    <x v="0"/>
    <x v="6"/>
  </r>
  <r>
    <s v="C0384"/>
    <x v="160"/>
    <x v="1"/>
    <x v="2"/>
    <n v="9071.06"/>
    <x v="383"/>
    <x v="383"/>
    <n v="5189"/>
    <n v="470"/>
    <n v="21201.89"/>
    <n v="3.0112581244196843E-2"/>
    <n v="1.77"/>
    <n v="19.541553191489363"/>
    <n v="2.3084349444119621"/>
    <n v="12017.359999999999"/>
    <n v="-918453.00000000012"/>
    <x v="0"/>
    <x v="4"/>
  </r>
  <r>
    <s v="C0385"/>
    <x v="77"/>
    <x v="0"/>
    <x v="3"/>
    <n v="7882.3"/>
    <x v="384"/>
    <x v="384"/>
    <n v="5839"/>
    <n v="987"/>
    <n v="38057.08"/>
    <n v="3.4356961712493604E-2"/>
    <n v="1.3553964719986298"/>
    <n v="8.0183991894630182"/>
    <n v="4.8087327018912935"/>
    <n v="30142.920000000002"/>
    <n v="-791416"/>
    <x v="0"/>
    <x v="2"/>
  </r>
  <r>
    <s v="C0386"/>
    <x v="122"/>
    <x v="0"/>
    <x v="1"/>
    <n v="8269.02"/>
    <x v="385"/>
    <x v="385"/>
    <n v="1370"/>
    <n v="194"/>
    <n v="9006.67"/>
    <n v="1.1700001708029446E-2"/>
    <n v="5.1158175182481749"/>
    <n v="36.127164948453611"/>
    <n v="1.2850754850777679"/>
    <n v="1998"/>
    <n v="-700867"/>
    <x v="0"/>
    <x v="2"/>
  </r>
  <r>
    <s v="C0387"/>
    <x v="77"/>
    <x v="2"/>
    <x v="1"/>
    <n v="9102.9"/>
    <x v="386"/>
    <x v="386"/>
    <n v="2723"/>
    <n v="466"/>
    <n v="20864.919999999998"/>
    <n v="4.9720629587700398E-2"/>
    <n v="2.7037054719059861"/>
    <n v="15.798690987124463"/>
    <n v="2.8340643205350582"/>
    <n v="13502.73"/>
    <n v="-736218.99999999988"/>
    <x v="0"/>
    <x v="2"/>
  </r>
  <r>
    <s v="C0388"/>
    <x v="46"/>
    <x v="2"/>
    <x v="3"/>
    <n v="3902.09"/>
    <x v="387"/>
    <x v="387"/>
    <n v="6420"/>
    <n v="253"/>
    <n v="10703.23"/>
    <n v="3.2584697373429769E-2"/>
    <n v="0.54734735202492213"/>
    <n v="13.889209486166006"/>
    <n v="3.0459081893129425"/>
    <n v="7189.26"/>
    <n v="-351396.99999999994"/>
    <x v="0"/>
    <x v="1"/>
  </r>
  <r>
    <s v="C0389"/>
    <x v="79"/>
    <x v="0"/>
    <x v="1"/>
    <n v="4125.32"/>
    <x v="388"/>
    <x v="388"/>
    <n v="3940"/>
    <n v="727"/>
    <n v="32688.85"/>
    <n v="3.307477922165139E-2"/>
    <n v="1.0945609137055836"/>
    <n v="5.9320082530949101"/>
    <n v="7.5799001523453535"/>
    <n v="28376.28"/>
    <n v="-431257"/>
    <x v="0"/>
    <x v="4"/>
  </r>
  <r>
    <s v="C0390"/>
    <x v="159"/>
    <x v="2"/>
    <x v="3"/>
    <n v="6552.27"/>
    <x v="389"/>
    <x v="389"/>
    <n v="3190"/>
    <n v="282"/>
    <n v="8068.34"/>
    <n v="4.6556429603467654E-2"/>
    <n v="1.6471379310344827"/>
    <n v="18.632517730496453"/>
    <n v="1.5355485053393652"/>
    <n v="2813.9700000000003"/>
    <n v="-525437"/>
    <x v="0"/>
    <x v="6"/>
  </r>
  <r>
    <s v="C0391"/>
    <x v="84"/>
    <x v="0"/>
    <x v="3"/>
    <n v="7318.49"/>
    <x v="390"/>
    <x v="390"/>
    <n v="2922"/>
    <n v="339"/>
    <n v="13205.54"/>
    <n v="2.0725462102620117E-2"/>
    <n v="2.7409411362080767"/>
    <n v="23.625457227138643"/>
    <n v="1.648831381578044"/>
    <n v="5196.5100000000011"/>
    <n v="-800903"/>
    <x v="0"/>
    <x v="4"/>
  </r>
  <r>
    <s v="C0392"/>
    <x v="96"/>
    <x v="0"/>
    <x v="3"/>
    <n v="4818.63"/>
    <x v="391"/>
    <x v="391"/>
    <n v="8565"/>
    <n v="610"/>
    <n v="22081.73"/>
    <n v="4.8695760938779226E-2"/>
    <n v="0.55708347927612378"/>
    <n v="7.8220000000000001"/>
    <n v="4.6279157986511352"/>
    <n v="17310.309999999998"/>
    <n v="-477142.00000000017"/>
    <x v="0"/>
    <x v="2"/>
  </r>
  <r>
    <s v="C0393"/>
    <x v="53"/>
    <x v="1"/>
    <x v="1"/>
    <n v="8458.92"/>
    <x v="392"/>
    <x v="392"/>
    <n v="7387"/>
    <n v="925"/>
    <n v="39618.519999999997"/>
    <n v="3.9390400622823715E-2"/>
    <n v="0.95283877081359147"/>
    <n v="7.6093189189189188"/>
    <n v="5.628734041616112"/>
    <n v="32579.899999999998"/>
    <n v="-703861.99999999988"/>
    <x v="1"/>
    <x v="5"/>
  </r>
  <r>
    <s v="C0394"/>
    <x v="45"/>
    <x v="3"/>
    <x v="1"/>
    <n v="6788.87"/>
    <x v="393"/>
    <x v="393"/>
    <n v="1758"/>
    <n v="270"/>
    <n v="8169.16"/>
    <n v="1.9265331170823654E-2"/>
    <n v="4.2049943117178614"/>
    <n v="27.379185185185186"/>
    <n v="1.1050784726975615"/>
    <n v="776.77999999999975"/>
    <n v="-739238"/>
    <x v="0"/>
    <x v="3"/>
  </r>
  <r>
    <s v="C0395"/>
    <x v="73"/>
    <x v="1"/>
    <x v="0"/>
    <n v="7428.35"/>
    <x v="394"/>
    <x v="394"/>
    <n v="2785"/>
    <n v="83"/>
    <n v="1915.25"/>
    <n v="1.9115275060914923E-2"/>
    <n v="2.879608617594255"/>
    <n v="96.623012048192777"/>
    <n v="0.23881786249128709"/>
    <n v="-6104.46"/>
    <n v="-801971"/>
    <x v="0"/>
    <x v="3"/>
  </r>
  <r>
    <s v="C0396"/>
    <x v="161"/>
    <x v="1"/>
    <x v="1"/>
    <n v="9560.6"/>
    <x v="395"/>
    <x v="395"/>
    <n v="3470"/>
    <n v="651"/>
    <n v="14344.86"/>
    <n v="2.0995818988207248E-2"/>
    <n v="2.7727550432276655"/>
    <n v="14.779508448540705"/>
    <n v="1.4909234149494985"/>
    <n v="4723.4000000000015"/>
    <n v="-962145.99999999988"/>
    <x v="0"/>
    <x v="0"/>
  </r>
  <r>
    <s v="C0397"/>
    <x v="86"/>
    <x v="3"/>
    <x v="1"/>
    <n v="5106.74"/>
    <x v="396"/>
    <x v="396"/>
    <n v="1422"/>
    <n v="153"/>
    <n v="3369.14"/>
    <n v="2.0323866965855333E-2"/>
    <n v="3.6359563994374122"/>
    <n v="33.793006535947711"/>
    <n v="0.65162958650608371"/>
    <n v="-1801.19"/>
    <n v="-517033"/>
    <x v="0"/>
    <x v="2"/>
  </r>
  <r>
    <s v="C0398"/>
    <x v="70"/>
    <x v="4"/>
    <x v="0"/>
    <n v="7075.19"/>
    <x v="397"/>
    <x v="397"/>
    <n v="8585"/>
    <n v="591"/>
    <n v="22828.83"/>
    <n v="4.4372199279500923E-2"/>
    <n v="0.74482352941176477"/>
    <n v="10.81947546531303"/>
    <n v="3.5701787995890095"/>
    <n v="16434.52"/>
    <n v="-639431.00000000012"/>
    <x v="0"/>
    <x v="2"/>
  </r>
  <r>
    <s v="C0399"/>
    <x v="83"/>
    <x v="4"/>
    <x v="0"/>
    <n v="3320.19"/>
    <x v="398"/>
    <x v="398"/>
    <n v="1392"/>
    <n v="278"/>
    <n v="13678.9"/>
    <n v="7.7125522896639613E-3"/>
    <n v="2.5317887931034484"/>
    <n v="12.677158273381295"/>
    <n v="3.8813648293963254"/>
    <n v="10154.65"/>
    <n v="-352425"/>
    <x v="0"/>
    <x v="3"/>
  </r>
  <r>
    <s v="C0400"/>
    <x v="34"/>
    <x v="0"/>
    <x v="2"/>
    <n v="9782.14"/>
    <x v="399"/>
    <x v="399"/>
    <n v="5688"/>
    <n v="531"/>
    <n v="12692.27"/>
    <n v="3.8118214716525933E-2"/>
    <n v="1.7626002109704642"/>
    <n v="18.880734463276838"/>
    <n v="1.2659772364340738"/>
    <n v="2666.6000000000004"/>
    <n v="-1002567"/>
    <x v="0"/>
    <x v="3"/>
  </r>
  <r>
    <s v="C0401"/>
    <x v="98"/>
    <x v="3"/>
    <x v="1"/>
    <n v="8307.84"/>
    <x v="400"/>
    <x v="400"/>
    <n v="2283"/>
    <n v="270"/>
    <n v="5579.2"/>
    <n v="1.7826327995065162E-2"/>
    <n v="2.938042049934297"/>
    <n v="24.84277777777778"/>
    <n v="0.83177911457983911"/>
    <n v="-1128.3500000000004"/>
    <n v="-670755"/>
    <x v="0"/>
    <x v="2"/>
  </r>
  <r>
    <s v="C0402"/>
    <x v="162"/>
    <x v="3"/>
    <x v="0"/>
    <n v="5265.27"/>
    <x v="401"/>
    <x v="401"/>
    <n v="1609"/>
    <n v="321"/>
    <n v="13839.02"/>
    <n v="3.1773301737756714E-2"/>
    <n v="3.097619639527657"/>
    <n v="15.526697819314641"/>
    <n v="2.7766504082005272"/>
    <n v="8854.9500000000007"/>
    <n v="-498407"/>
    <x v="0"/>
    <x v="4"/>
  </r>
  <r>
    <s v="C0403"/>
    <x v="28"/>
    <x v="1"/>
    <x v="3"/>
    <n v="7783.07"/>
    <x v="402"/>
    <x v="402"/>
    <n v="5836"/>
    <n v="861"/>
    <n v="24287.78"/>
    <n v="3.6559314920034329E-2"/>
    <n v="1.2453050034270048"/>
    <n v="8.4408826945412319"/>
    <n v="3.341925807694424"/>
    <n v="17020.18"/>
    <n v="-726759.99999999988"/>
    <x v="0"/>
    <x v="0"/>
  </r>
  <r>
    <s v="C0404"/>
    <x v="136"/>
    <x v="4"/>
    <x v="3"/>
    <n v="9979.8700000000008"/>
    <x v="403"/>
    <x v="403"/>
    <n v="2984"/>
    <n v="369"/>
    <n v="12376.85"/>
    <n v="3.2410122732703377E-2"/>
    <n v="3.1031735924932979"/>
    <n v="25.094498644986452"/>
    <n v="1.3366116370964169"/>
    <n v="3116.9799999999996"/>
    <n v="-925987.00000000012"/>
    <x v="1"/>
    <x v="5"/>
  </r>
  <r>
    <s v="C0405"/>
    <x v="63"/>
    <x v="1"/>
    <x v="2"/>
    <n v="4145.37"/>
    <x v="404"/>
    <x v="404"/>
    <n v="4150"/>
    <n v="232"/>
    <n v="9468.0300000000007"/>
    <n v="3.0023729598333139E-2"/>
    <n v="1.0372843373493974"/>
    <n v="18.554870689655171"/>
    <n v="2.1994480490065582"/>
    <n v="5163.3000000000011"/>
    <n v="-430472.99999999994"/>
    <x v="0"/>
    <x v="6"/>
  </r>
  <r>
    <s v="C0406"/>
    <x v="111"/>
    <x v="2"/>
    <x v="0"/>
    <n v="4545.3900000000003"/>
    <x v="405"/>
    <x v="405"/>
    <n v="2107"/>
    <n v="352"/>
    <n v="14226.07"/>
    <n v="3.2952768220206444E-2"/>
    <n v="1.779140958709065"/>
    <n v="10.649573863636364"/>
    <n v="3.7949848612167045"/>
    <n v="10477.42"/>
    <n v="-374864.99999999994"/>
    <x v="0"/>
    <x v="4"/>
  </r>
  <r>
    <s v="C0407"/>
    <x v="16"/>
    <x v="2"/>
    <x v="3"/>
    <n v="7581.58"/>
    <x v="406"/>
    <x v="406"/>
    <n v="7700"/>
    <n v="1117"/>
    <n v="54203.44"/>
    <n v="3.9979439145582274E-2"/>
    <n v="0.86841428571428569"/>
    <n v="5.986383169203223"/>
    <n v="8.1060478944306613"/>
    <n v="47516.65"/>
    <n v="-668679.00000000012"/>
    <x v="0"/>
    <x v="0"/>
  </r>
  <r>
    <s v="C0408"/>
    <x v="94"/>
    <x v="1"/>
    <x v="1"/>
    <n v="4057.41"/>
    <x v="407"/>
    <x v="407"/>
    <n v="2744"/>
    <n v="447"/>
    <n v="21593.89"/>
    <n v="4.1876507035375272E-2"/>
    <n v="1.374701166180758"/>
    <n v="8.4388814317673368"/>
    <n v="5.7245120858495619"/>
    <n v="17821.71"/>
    <n v="-377218"/>
    <x v="0"/>
    <x v="0"/>
  </r>
  <r>
    <s v="C0409"/>
    <x v="10"/>
    <x v="0"/>
    <x v="0"/>
    <n v="5938.09"/>
    <x v="408"/>
    <x v="408"/>
    <n v="5146"/>
    <n v="512"/>
    <n v="16347.05"/>
    <n v="3.4378173267062155E-2"/>
    <n v="1.1441818888457054"/>
    <n v="11.499921875"/>
    <n v="2.7763520811962037"/>
    <n v="10459.09"/>
    <n v="-588795.99999999988"/>
    <x v="0"/>
    <x v="2"/>
  </r>
  <r>
    <s v="C0410"/>
    <x v="129"/>
    <x v="0"/>
    <x v="2"/>
    <n v="4919.51"/>
    <x v="409"/>
    <x v="409"/>
    <n v="1453"/>
    <n v="106"/>
    <n v="3421.68"/>
    <n v="1.2210289248558799E-2"/>
    <n v="3.7080591878871303"/>
    <n v="50.828396226415101"/>
    <n v="0.6350780743938631"/>
    <n v="-1966.1300000000006"/>
    <n v="-538781"/>
    <x v="0"/>
    <x v="1"/>
  </r>
  <r>
    <s v="C0411"/>
    <x v="59"/>
    <x v="1"/>
    <x v="0"/>
    <n v="9258.69"/>
    <x v="410"/>
    <x v="410"/>
    <n v="3264"/>
    <n v="281"/>
    <n v="7416.47"/>
    <n v="2.8313671061762666E-2"/>
    <n v="2.4649754901960783"/>
    <n v="28.632313167259788"/>
    <n v="0.92179529884360301"/>
    <n v="-629.21"/>
    <n v="-804568"/>
    <x v="0"/>
    <x v="1"/>
  </r>
  <r>
    <s v="C0412"/>
    <x v="45"/>
    <x v="4"/>
    <x v="0"/>
    <n v="3217.94"/>
    <x v="411"/>
    <x v="411"/>
    <n v="5246"/>
    <n v="346"/>
    <n v="10745.3"/>
    <n v="4.0579216881449283E-2"/>
    <n v="0.61064811284788412"/>
    <n v="9.2585549132947982"/>
    <n v="3.3542794353605161"/>
    <n v="7541.8399999999992"/>
    <n v="-320346"/>
    <x v="0"/>
    <x v="3"/>
  </r>
  <r>
    <s v="C0413"/>
    <x v="124"/>
    <x v="2"/>
    <x v="1"/>
    <n v="9050.51"/>
    <x v="412"/>
    <x v="412"/>
    <n v="4911"/>
    <n v="623"/>
    <n v="30555.54"/>
    <n v="4.3097471720300831E-2"/>
    <n v="1.7359499083689676"/>
    <n v="13.684189406099518"/>
    <n v="3.5841224597519137"/>
    <n v="22030.29"/>
    <n v="-852525"/>
    <x v="0"/>
    <x v="0"/>
  </r>
  <r>
    <s v="C0414"/>
    <x v="76"/>
    <x v="3"/>
    <x v="0"/>
    <n v="4298.68"/>
    <x v="413"/>
    <x v="413"/>
    <n v="4360"/>
    <n v="734"/>
    <n v="31780.66"/>
    <n v="2.7213431950816092E-2"/>
    <n v="1.0456697247706421"/>
    <n v="6.2113351498637597"/>
    <n v="6.9707882222885118"/>
    <n v="27221.54"/>
    <n v="-455911.99999999988"/>
    <x v="0"/>
    <x v="4"/>
  </r>
  <r>
    <s v="C0415"/>
    <x v="100"/>
    <x v="4"/>
    <x v="1"/>
    <n v="8396.4500000000007"/>
    <x v="414"/>
    <x v="414"/>
    <n v="2317"/>
    <n v="156"/>
    <n v="6681.59"/>
    <n v="1.3125099132168671E-2"/>
    <n v="3.8174838152783774"/>
    <n v="56.699423076923082"/>
    <n v="0.75539931103174518"/>
    <n v="-2163.5200000000004"/>
    <n v="-884511"/>
    <x v="0"/>
    <x v="0"/>
  </r>
  <r>
    <s v="C0416"/>
    <x v="38"/>
    <x v="3"/>
    <x v="2"/>
    <n v="7383.54"/>
    <x v="415"/>
    <x v="415"/>
    <n v="3140"/>
    <n v="208"/>
    <n v="4362.96"/>
    <n v="3.3442322643860566E-2"/>
    <n v="1.9737420382165605"/>
    <n v="29.795913461538461"/>
    <n v="0.70398141200958442"/>
    <n v="-1834.5900000000001"/>
    <n v="-619755"/>
    <x v="0"/>
    <x v="2"/>
  </r>
  <r>
    <s v="C0417"/>
    <x v="35"/>
    <x v="3"/>
    <x v="3"/>
    <n v="9445.93"/>
    <x v="416"/>
    <x v="416"/>
    <n v="1210"/>
    <n v="52"/>
    <n v="2282.6"/>
    <n v="1.710416578318703E-2"/>
    <n v="7.6894132231404964"/>
    <n v="178.92673076923077"/>
    <n v="0.24533032966867613"/>
    <n v="-7021.59"/>
    <n v="-930419"/>
    <x v="0"/>
    <x v="2"/>
  </r>
  <r>
    <s v="C0418"/>
    <x v="8"/>
    <x v="4"/>
    <x v="1"/>
    <n v="6370.66"/>
    <x v="417"/>
    <x v="417"/>
    <n v="1539"/>
    <n v="177"/>
    <n v="4204.74"/>
    <n v="1.8308133379331674E-2"/>
    <n v="3.4572644574398956"/>
    <n v="30.060621468926552"/>
    <n v="0.79025622423990693"/>
    <n v="-1115.9899999999998"/>
    <n v="-532073"/>
    <x v="0"/>
    <x v="4"/>
  </r>
  <r>
    <s v="C0419"/>
    <x v="9"/>
    <x v="1"/>
    <x v="2"/>
    <n v="7798.96"/>
    <x v="418"/>
    <x v="418"/>
    <n v="3545"/>
    <n v="81"/>
    <n v="2107.2800000000002"/>
    <n v="3.2692094876240363E-2"/>
    <n v="2.0439915373765869"/>
    <n v="89.456172839506166"/>
    <n v="0.29082176940221782"/>
    <n v="-5138.67"/>
    <n v="-724595.00000000012"/>
    <x v="0"/>
    <x v="3"/>
  </r>
  <r>
    <s v="C0420"/>
    <x v="152"/>
    <x v="3"/>
    <x v="2"/>
    <n v="6441.16"/>
    <x v="419"/>
    <x v="419"/>
    <n v="6117"/>
    <n v="461"/>
    <n v="17268.66"/>
    <n v="4.2574960327403322E-2"/>
    <n v="0.86267778322707211"/>
    <n v="11.446854663774403"/>
    <n v="3.2724388857305287"/>
    <n v="11991.66"/>
    <n v="-527700"/>
    <x v="0"/>
    <x v="1"/>
  </r>
  <r>
    <s v="C0421"/>
    <x v="38"/>
    <x v="2"/>
    <x v="3"/>
    <n v="4882.95"/>
    <x v="420"/>
    <x v="420"/>
    <n v="1044"/>
    <n v="91"/>
    <n v="2667.29"/>
    <n v="1.3660630168533444E-2"/>
    <n v="4.8608141762452099"/>
    <n v="55.765824175824172"/>
    <n v="0.52560649024866546"/>
    <n v="-2407.3999999999996"/>
    <n v="-507468.99999999994"/>
    <x v="0"/>
    <x v="2"/>
  </r>
  <r>
    <s v="C0422"/>
    <x v="129"/>
    <x v="2"/>
    <x v="0"/>
    <n v="6186.54"/>
    <x v="421"/>
    <x v="421"/>
    <n v="6398"/>
    <n v="1049"/>
    <n v="23259.9"/>
    <n v="4.8822550860003359E-2"/>
    <n v="0.77693029071584874"/>
    <n v="4.73860819828408"/>
    <n v="4.6793071537780637"/>
    <n v="18289.100000000002"/>
    <n v="-497079.99999999994"/>
    <x v="0"/>
    <x v="1"/>
  </r>
  <r>
    <s v="C0423"/>
    <x v="163"/>
    <x v="4"/>
    <x v="0"/>
    <n v="5747.45"/>
    <x v="422"/>
    <x v="422"/>
    <n v="2029"/>
    <n v="320"/>
    <n v="12160.2"/>
    <n v="2.9405370936653092E-2"/>
    <n v="2.6739724001971412"/>
    <n v="16.954656249999999"/>
    <n v="2.241309079917206"/>
    <n v="6734.7100000000009"/>
    <n v="-542549"/>
    <x v="0"/>
    <x v="0"/>
  </r>
  <r>
    <s v="C0424"/>
    <x v="47"/>
    <x v="0"/>
    <x v="3"/>
    <n v="5041.6400000000003"/>
    <x v="423"/>
    <x v="423"/>
    <n v="5522"/>
    <n v="900"/>
    <n v="41223.300000000003"/>
    <n v="3.0690053799297498E-2"/>
    <n v="0.92076602680188346"/>
    <n v="5.6494111111111112"/>
    <n v="8.1076887069842094"/>
    <n v="36138.83"/>
    <n v="-508447.00000000012"/>
    <x v="0"/>
    <x v="1"/>
  </r>
  <r>
    <s v="C0425"/>
    <x v="148"/>
    <x v="4"/>
    <x v="1"/>
    <n v="8458.9599999999991"/>
    <x v="424"/>
    <x v="424"/>
    <n v="6324"/>
    <n v="1140"/>
    <n v="39233.339999999997"/>
    <n v="4.1677375986081178E-2"/>
    <n v="1.0859756483238456"/>
    <n v="6.02430701754386"/>
    <n v="5.7127252024328339"/>
    <n v="32365.629999999997"/>
    <n v="-686770.99999999988"/>
    <x v="0"/>
    <x v="4"/>
  </r>
  <r>
    <s v="C0426"/>
    <x v="12"/>
    <x v="2"/>
    <x v="0"/>
    <n v="3734.51"/>
    <x v="425"/>
    <x v="425"/>
    <n v="2257"/>
    <n v="398"/>
    <n v="19740.75"/>
    <n v="1.2003339874807877E-2"/>
    <n v="1.4438546743464777"/>
    <n v="8.1878894472361807"/>
    <n v="6.0577117817097195"/>
    <n v="16481.97"/>
    <n v="-325877.99999999988"/>
    <x v="0"/>
    <x v="1"/>
  </r>
  <r>
    <s v="C0427"/>
    <x v="33"/>
    <x v="0"/>
    <x v="1"/>
    <n v="3997.47"/>
    <x v="426"/>
    <x v="426"/>
    <n v="2026"/>
    <n v="179"/>
    <n v="6899.5"/>
    <n v="3.6334289813486367E-2"/>
    <n v="1.873770977295163"/>
    <n v="21.208156424581006"/>
    <n v="1.8174466448557263"/>
    <n v="3103.24"/>
    <n v="-379626"/>
    <x v="0"/>
    <x v="2"/>
  </r>
  <r>
    <s v="C0428"/>
    <x v="135"/>
    <x v="4"/>
    <x v="0"/>
    <n v="7917.25"/>
    <x v="427"/>
    <x v="427"/>
    <n v="2639"/>
    <n v="396"/>
    <n v="8036.08"/>
    <n v="2.7822584896311058E-2"/>
    <n v="2.9037741568776054"/>
    <n v="19.351161616161619"/>
    <n v="1.0486776822835786"/>
    <n v="373.01999999999953"/>
    <n v="-766306"/>
    <x v="0"/>
    <x v="0"/>
  </r>
  <r>
    <s v="C0429"/>
    <x v="117"/>
    <x v="1"/>
    <x v="1"/>
    <n v="5285.23"/>
    <x v="428"/>
    <x v="428"/>
    <n v="2548"/>
    <n v="363"/>
    <n v="8216.8700000000008"/>
    <n v="1.895508953080946E-2"/>
    <n v="1.9815737833594977"/>
    <n v="13.909228650137742"/>
    <n v="1.6274091165664828"/>
    <n v="3167.8200000000006"/>
    <n v="-504905"/>
    <x v="0"/>
    <x v="0"/>
  </r>
  <r>
    <s v="C0430"/>
    <x v="65"/>
    <x v="3"/>
    <x v="2"/>
    <n v="5454.39"/>
    <x v="429"/>
    <x v="429"/>
    <n v="5187"/>
    <n v="280"/>
    <n v="6260.06"/>
    <n v="4.6536039188243526E-2"/>
    <n v="0.85171390013495274"/>
    <n v="15.778"/>
    <n v="1.416995635876356"/>
    <n v="1842.2200000000003"/>
    <n v="-441784"/>
    <x v="0"/>
    <x v="4"/>
  </r>
  <r>
    <s v="C0431"/>
    <x v="84"/>
    <x v="2"/>
    <x v="1"/>
    <n v="5778.46"/>
    <x v="430"/>
    <x v="430"/>
    <n v="1293"/>
    <n v="60"/>
    <n v="2221.5700000000002"/>
    <n v="1.2584186553509557E-2"/>
    <n v="3.7531631863882446"/>
    <n v="80.88066666666667"/>
    <n v="0.45778760478400277"/>
    <n v="-2631.27"/>
    <n v="-485284"/>
    <x v="0"/>
    <x v="4"/>
  </r>
  <r>
    <s v="C0432"/>
    <x v="27"/>
    <x v="0"/>
    <x v="2"/>
    <n v="7826.25"/>
    <x v="431"/>
    <x v="431"/>
    <n v="5270"/>
    <n v="513"/>
    <n v="13340.31"/>
    <n v="2.915387381406799E-2"/>
    <n v="1.5447210626185959"/>
    <n v="15.868771929824561"/>
    <n v="1.6387218266778696"/>
    <n v="5199.6299999999992"/>
    <n v="-814068"/>
    <x v="0"/>
    <x v="2"/>
  </r>
  <r>
    <s v="C0433"/>
    <x v="35"/>
    <x v="0"/>
    <x v="1"/>
    <n v="4172.38"/>
    <x v="432"/>
    <x v="432"/>
    <n v="4002"/>
    <n v="362"/>
    <n v="14151.63"/>
    <n v="2.7866364003509406E-2"/>
    <n v="0.86676411794102948"/>
    <n v="9.5822928176795585"/>
    <n v="4.0797021439752763"/>
    <n v="10682.84"/>
    <n v="-346878.99999999988"/>
    <x v="0"/>
    <x v="2"/>
  </r>
  <r>
    <s v="C0434"/>
    <x v="117"/>
    <x v="1"/>
    <x v="2"/>
    <n v="7945.33"/>
    <x v="433"/>
    <x v="433"/>
    <n v="7877"/>
    <n v="806"/>
    <n v="38757.61"/>
    <n v="4.5037679104392277E-2"/>
    <n v="0.81649739748635275"/>
    <n v="7.9795905707196031"/>
    <n v="6.0261694303861431"/>
    <n v="32326.06"/>
    <n v="-643154.99999999988"/>
    <x v="0"/>
    <x v="0"/>
  </r>
  <r>
    <s v="C0435"/>
    <x v="78"/>
    <x v="3"/>
    <x v="3"/>
    <n v="3363.8"/>
    <x v="434"/>
    <x v="434"/>
    <n v="3625"/>
    <n v="357"/>
    <n v="14734.04"/>
    <n v="2.0176214886428782E-2"/>
    <n v="0.89304275862068971"/>
    <n v="9.0680112044817935"/>
    <n v="4.5513641081401675"/>
    <n v="11496.76"/>
    <n v="-323728.00000000006"/>
    <x v="0"/>
    <x v="2"/>
  </r>
  <r>
    <s v="C0436"/>
    <x v="30"/>
    <x v="4"/>
    <x v="0"/>
    <n v="9096.7800000000007"/>
    <x v="435"/>
    <x v="435"/>
    <n v="4745"/>
    <n v="555"/>
    <n v="24448.77"/>
    <n v="3.333263085428477E-2"/>
    <n v="1.9444025289778715"/>
    <n v="16.623765765765768"/>
    <n v="2.6499313367706496"/>
    <n v="15222.58"/>
    <n v="-922619"/>
    <x v="1"/>
    <x v="5"/>
  </r>
  <r>
    <s v="C0437"/>
    <x v="164"/>
    <x v="2"/>
    <x v="1"/>
    <n v="5376.15"/>
    <x v="436"/>
    <x v="436"/>
    <n v="7131"/>
    <n v="124"/>
    <n v="2778.03"/>
    <n v="4.4210917883381384E-2"/>
    <n v="0.78742252138549984"/>
    <n v="45.283145161290321"/>
    <n v="0.49474186614331694"/>
    <n v="-2837.0799999999995"/>
    <n v="-561511"/>
    <x v="0"/>
    <x v="6"/>
  </r>
  <r>
    <s v="C0438"/>
    <x v="16"/>
    <x v="0"/>
    <x v="2"/>
    <n v="9263.7199999999993"/>
    <x v="437"/>
    <x v="437"/>
    <n v="2170"/>
    <n v="58"/>
    <n v="2582.1"/>
    <n v="2.9826128788399422E-2"/>
    <n v="4.1164976958525346"/>
    <n v="154.01379310344825"/>
    <n v="0.28905830198817839"/>
    <n v="-6350.6999999999989"/>
    <n v="-893279.99999999988"/>
    <x v="0"/>
    <x v="0"/>
  </r>
  <r>
    <s v="C0439"/>
    <x v="114"/>
    <x v="3"/>
    <x v="3"/>
    <n v="6166.23"/>
    <x v="438"/>
    <x v="438"/>
    <n v="3434"/>
    <n v="635"/>
    <n v="22727.97"/>
    <n v="2.5173553840176523E-2"/>
    <n v="1.783203261502621"/>
    <n v="9.6433385826771669"/>
    <n v="3.7115858199205687"/>
    <n v="16604.45"/>
    <n v="-612352"/>
    <x v="0"/>
    <x v="2"/>
  </r>
  <r>
    <s v="C0440"/>
    <x v="128"/>
    <x v="4"/>
    <x v="2"/>
    <n v="8121.13"/>
    <x v="439"/>
    <x v="439"/>
    <n v="2084"/>
    <n v="362"/>
    <n v="7895.42"/>
    <n v="1.0961382691114126E-2"/>
    <n v="3.2129462571976966"/>
    <n v="18.496629834254144"/>
    <n v="1.1791635925911546"/>
    <n v="1199.6400000000003"/>
    <n v="-669578"/>
    <x v="0"/>
    <x v="4"/>
  </r>
  <r>
    <s v="C0441"/>
    <x v="46"/>
    <x v="3"/>
    <x v="0"/>
    <n v="4729.72"/>
    <x v="440"/>
    <x v="440"/>
    <n v="1915"/>
    <n v="303"/>
    <n v="13984.51"/>
    <n v="2.2547980689979985E-2"/>
    <n v="2.0940783289817233"/>
    <n v="13.234851485148514"/>
    <n v="3.487269834620065"/>
    <n v="9974.35"/>
    <n v="-401016"/>
    <x v="0"/>
    <x v="1"/>
  </r>
  <r>
    <s v="C0442"/>
    <x v="36"/>
    <x v="0"/>
    <x v="0"/>
    <n v="4534.5"/>
    <x v="441"/>
    <x v="441"/>
    <n v="1992"/>
    <n v="277"/>
    <n v="8339.6"/>
    <n v="1.6487063614242438E-2"/>
    <n v="2.4875100401606427"/>
    <n v="17.888519855595668"/>
    <n v="1.6830268489965936"/>
    <n v="3384.4800000000005"/>
    <n v="-495512"/>
    <x v="0"/>
    <x v="1"/>
  </r>
  <r>
    <s v="C0443"/>
    <x v="61"/>
    <x v="2"/>
    <x v="0"/>
    <n v="4274.83"/>
    <x v="442"/>
    <x v="442"/>
    <n v="3924"/>
    <n v="687"/>
    <n v="27315.97"/>
    <n v="3.6018835537850069E-2"/>
    <n v="1.1296151885830783"/>
    <n v="6.4521251819505085"/>
    <n v="6.1625024534078126"/>
    <n v="22883.360000000001"/>
    <n v="-443261.00000000006"/>
    <x v="0"/>
    <x v="3"/>
  </r>
  <r>
    <s v="C0444"/>
    <x v="82"/>
    <x v="4"/>
    <x v="1"/>
    <n v="6487.37"/>
    <x v="443"/>
    <x v="443"/>
    <n v="7015"/>
    <n v="623"/>
    <n v="25901.88"/>
    <n v="4.8298036407700147E-2"/>
    <n v="0.89390591589451174"/>
    <n v="10.065409309791333"/>
    <n v="4.1305872503289081"/>
    <n v="19631.13"/>
    <n v="-627075"/>
    <x v="0"/>
    <x v="3"/>
  </r>
  <r>
    <s v="C0445"/>
    <x v="26"/>
    <x v="3"/>
    <x v="0"/>
    <n v="4599.18"/>
    <x v="444"/>
    <x v="444"/>
    <n v="5659"/>
    <n v="91"/>
    <n v="4481.1899999999996"/>
    <n v="3.2414196031709662E-2"/>
    <n v="0.89309772044530833"/>
    <n v="55.5389010989011"/>
    <n v="0.88665503240971577"/>
    <n v="-572.85000000000036"/>
    <n v="-505404"/>
    <x v="0"/>
    <x v="1"/>
  </r>
  <r>
    <s v="C0446"/>
    <x v="73"/>
    <x v="3"/>
    <x v="2"/>
    <n v="7552.28"/>
    <x v="445"/>
    <x v="445"/>
    <n v="9269"/>
    <n v="1087"/>
    <n v="43922.239999999998"/>
    <n v="4.9519443954717142E-2"/>
    <n v="0.70060632214909913"/>
    <n v="5.974167433302668"/>
    <n v="6.7635942543178844"/>
    <n v="37428.32"/>
    <n v="-649391.99999999977"/>
    <x v="0"/>
    <x v="3"/>
  </r>
  <r>
    <s v="C0447"/>
    <x v="54"/>
    <x v="4"/>
    <x v="3"/>
    <n v="3505.39"/>
    <x v="446"/>
    <x v="446"/>
    <n v="2346"/>
    <n v="225"/>
    <n v="6239.36"/>
    <n v="2.0702618272310909E-2"/>
    <n v="1.2091005967604433"/>
    <n v="12.606888888888889"/>
    <n v="2.1996298320142422"/>
    <n v="3402.8099999999995"/>
    <n v="-283655"/>
    <x v="0"/>
    <x v="4"/>
  </r>
  <r>
    <s v="C0448"/>
    <x v="83"/>
    <x v="0"/>
    <x v="2"/>
    <n v="6238.36"/>
    <x v="447"/>
    <x v="447"/>
    <n v="2282"/>
    <n v="391"/>
    <n v="16349.69"/>
    <n v="2.3426512406196424E-2"/>
    <n v="2.8990666082383876"/>
    <n v="16.919872122762147"/>
    <n v="2.4713581542005572"/>
    <n v="9734.02"/>
    <n v="-661567"/>
    <x v="0"/>
    <x v="3"/>
  </r>
  <r>
    <s v="C0449"/>
    <x v="141"/>
    <x v="1"/>
    <x v="2"/>
    <n v="8198.9500000000007"/>
    <x v="448"/>
    <x v="448"/>
    <n v="7965"/>
    <n v="101"/>
    <n v="3068.18"/>
    <n v="4.6100152798999858E-2"/>
    <n v="0.95489516635279348"/>
    <n v="75.304356435643555"/>
    <n v="0.40340321914764377"/>
    <n v="-4537.5599999999995"/>
    <n v="-760574"/>
    <x v="0"/>
    <x v="0"/>
  </r>
  <r>
    <s v="C0450"/>
    <x v="122"/>
    <x v="0"/>
    <x v="1"/>
    <n v="5597.27"/>
    <x v="449"/>
    <x v="449"/>
    <n v="4476"/>
    <n v="461"/>
    <n v="9774.7099999999991"/>
    <n v="3.8174188926414901E-2"/>
    <n v="1.3709249329758713"/>
    <n v="13.310759219088938"/>
    <n v="1.592942606734395"/>
    <n v="3638.4499999999989"/>
    <n v="-613626"/>
    <x v="0"/>
    <x v="2"/>
  </r>
  <r>
    <s v="C0451"/>
    <x v="59"/>
    <x v="2"/>
    <x v="1"/>
    <n v="9069.2199999999993"/>
    <x v="450"/>
    <x v="450"/>
    <n v="5041"/>
    <n v="104"/>
    <n v="3448.48"/>
    <n v="3.364547111001355E-2"/>
    <n v="1.7516008728426899"/>
    <n v="84.902115384615385"/>
    <n v="0.39054929772067837"/>
    <n v="-5381.34"/>
    <n v="-882982"/>
    <x v="0"/>
    <x v="1"/>
  </r>
  <r>
    <s v="C0452"/>
    <x v="165"/>
    <x v="4"/>
    <x v="2"/>
    <n v="8076.8"/>
    <x v="451"/>
    <x v="451"/>
    <n v="5679"/>
    <n v="1058"/>
    <n v="48882.45"/>
    <n v="3.8264326382104231E-2"/>
    <n v="1.3454234900510653"/>
    <n v="7.22179584120983"/>
    <n v="6.397673761167229"/>
    <n v="41241.789999999994"/>
    <n v="-764066.00000000035"/>
    <x v="0"/>
    <x v="1"/>
  </r>
  <r>
    <s v="C0453"/>
    <x v="166"/>
    <x v="2"/>
    <x v="2"/>
    <n v="9304.91"/>
    <x v="452"/>
    <x v="452"/>
    <n v="1282"/>
    <n v="150"/>
    <n v="4245.7299999999996"/>
    <n v="1.3308418976435171E-2"/>
    <n v="6.7247659906396251"/>
    <n v="57.474333333333334"/>
    <n v="0.49247838165441965"/>
    <n v="-4375.42"/>
    <n v="-862115"/>
    <x v="0"/>
    <x v="1"/>
  </r>
  <r>
    <s v="C0454"/>
    <x v="167"/>
    <x v="0"/>
    <x v="1"/>
    <n v="7146.45"/>
    <x v="453"/>
    <x v="453"/>
    <n v="2886"/>
    <n v="402"/>
    <n v="10580.59"/>
    <n v="2.9830999018037107E-2"/>
    <n v="2.6587699237699236"/>
    <n v="19.087587064676615"/>
    <n v="1.3789000952665182"/>
    <n v="2907.38"/>
    <n v="-767321"/>
    <x v="0"/>
    <x v="2"/>
  </r>
  <r>
    <s v="C0455"/>
    <x v="47"/>
    <x v="4"/>
    <x v="3"/>
    <n v="7360.77"/>
    <x v="454"/>
    <x v="454"/>
    <n v="3235"/>
    <n v="641"/>
    <n v="26917.759999999998"/>
    <n v="4.8584516032139369E-2"/>
    <n v="2.2513910355486861"/>
    <n v="11.362324492979718"/>
    <n v="3.6958445748807192"/>
    <n v="19634.509999999998"/>
    <n v="-728325"/>
    <x v="0"/>
    <x v="1"/>
  </r>
  <r>
    <s v="C0456"/>
    <x v="161"/>
    <x v="0"/>
    <x v="2"/>
    <n v="3920.97"/>
    <x v="455"/>
    <x v="455"/>
    <n v="4361"/>
    <n v="98"/>
    <n v="4632.5600000000004"/>
    <n v="2.2699709031475612E-2"/>
    <n v="0.9123572575097455"/>
    <n v="40.599897959183672"/>
    <n v="1.1643137737854976"/>
    <n v="653.77000000000044"/>
    <n v="-397879"/>
    <x v="0"/>
    <x v="0"/>
  </r>
  <r>
    <s v="C0457"/>
    <x v="150"/>
    <x v="3"/>
    <x v="3"/>
    <n v="4257.78"/>
    <x v="456"/>
    <x v="456"/>
    <n v="8803"/>
    <n v="1231"/>
    <n v="60493.62"/>
    <n v="4.5189010492597687E-2"/>
    <n v="0.42140747472452572"/>
    <n v="3.0135255889520716"/>
    <n v="16.30709635679916"/>
    <n v="56783.97"/>
    <n v="-370965.00000000012"/>
    <x v="0"/>
    <x v="1"/>
  </r>
  <r>
    <s v="C0458"/>
    <x v="168"/>
    <x v="4"/>
    <x v="1"/>
    <n v="4266.84"/>
    <x v="457"/>
    <x v="457"/>
    <n v="3308"/>
    <n v="330"/>
    <n v="11473.55"/>
    <n v="3.6338869847965548E-2"/>
    <n v="1.3624939540507861"/>
    <n v="13.657969696969698"/>
    <n v="2.5456443457366436"/>
    <n v="6966.4199999999992"/>
    <n v="-450713"/>
    <x v="0"/>
    <x v="1"/>
  </r>
  <r>
    <s v="C0459"/>
    <x v="105"/>
    <x v="0"/>
    <x v="3"/>
    <n v="4730.62"/>
    <x v="458"/>
    <x v="458"/>
    <n v="4331"/>
    <n v="122"/>
    <n v="4069.82"/>
    <n v="3.7174051121830635E-2"/>
    <n v="1.1591433848995614"/>
    <n v="41.149590163934427"/>
    <n v="0.81068074299088699"/>
    <n v="-950.42999999999984"/>
    <n v="-502025"/>
    <x v="0"/>
    <x v="3"/>
  </r>
  <r>
    <s v="C0460"/>
    <x v="68"/>
    <x v="4"/>
    <x v="1"/>
    <n v="6603.72"/>
    <x v="459"/>
    <x v="459"/>
    <n v="1060"/>
    <n v="202"/>
    <n v="7633.28"/>
    <n v="1.896684380983055E-2"/>
    <n v="5.6553396226415096"/>
    <n v="29.676534653465346"/>
    <n v="1.2733466118178511"/>
    <n v="1638.62"/>
    <n v="-599466"/>
    <x v="1"/>
    <x v="5"/>
  </r>
  <r>
    <s v="C0461"/>
    <x v="146"/>
    <x v="0"/>
    <x v="1"/>
    <n v="4144.67"/>
    <x v="460"/>
    <x v="460"/>
    <n v="4309"/>
    <n v="82"/>
    <n v="4024.75"/>
    <n v="3.8683208848032176E-2"/>
    <n v="0.88234161058250182"/>
    <n v="46.365975609756099"/>
    <n v="1.0585848011972614"/>
    <n v="222.73999999999978"/>
    <n v="-380201"/>
    <x v="1"/>
    <x v="5"/>
  </r>
  <r>
    <s v="C0462"/>
    <x v="120"/>
    <x v="4"/>
    <x v="1"/>
    <n v="4806.93"/>
    <x v="461"/>
    <x v="461"/>
    <n v="1590"/>
    <n v="273"/>
    <n v="8123.31"/>
    <n v="1.2467068121942039E-2"/>
    <n v="3.0142201257861632"/>
    <n v="17.555347985347986"/>
    <n v="1.6949657910825211"/>
    <n v="3330.7000000000007"/>
    <n v="-479260.99999999994"/>
    <x v="0"/>
    <x v="2"/>
  </r>
  <r>
    <s v="C0463"/>
    <x v="132"/>
    <x v="3"/>
    <x v="1"/>
    <n v="8414.31"/>
    <x v="462"/>
    <x v="462"/>
    <n v="1961"/>
    <n v="102"/>
    <n v="5007.6499999999996"/>
    <n v="2.709536573907757E-2"/>
    <n v="3.6011269760326368"/>
    <n v="69.23343137254902"/>
    <n v="0.70911706772059846"/>
    <n v="-2054.1600000000008"/>
    <n v="-706181"/>
    <x v="0"/>
    <x v="3"/>
  </r>
  <r>
    <s v="C0464"/>
    <x v="158"/>
    <x v="2"/>
    <x v="2"/>
    <n v="6176.53"/>
    <x v="463"/>
    <x v="463"/>
    <n v="2729"/>
    <n v="147"/>
    <n v="3264.12"/>
    <n v="1.4036188575602029E-2"/>
    <n v="1.9709124221326493"/>
    <n v="36.589251700680272"/>
    <n v="0.60686942003710986"/>
    <n v="-2114.5"/>
    <n v="-537862"/>
    <x v="0"/>
    <x v="3"/>
  </r>
  <r>
    <s v="C0465"/>
    <x v="169"/>
    <x v="3"/>
    <x v="1"/>
    <n v="4188.3100000000004"/>
    <x v="464"/>
    <x v="464"/>
    <n v="1826"/>
    <n v="231"/>
    <n v="6955.43"/>
    <n v="2.8809895710070841E-2"/>
    <n v="2.1926286966046002"/>
    <n v="17.33220779220779"/>
    <n v="1.7372331869701831"/>
    <n v="2951.6900000000005"/>
    <n v="-400374"/>
    <x v="0"/>
    <x v="2"/>
  </r>
  <r>
    <s v="C0466"/>
    <x v="83"/>
    <x v="4"/>
    <x v="1"/>
    <n v="8802.18"/>
    <x v="465"/>
    <x v="465"/>
    <n v="4843"/>
    <n v="579"/>
    <n v="15900.17"/>
    <n v="4.4050098687501704E-2"/>
    <n v="1.6889469337187692"/>
    <n v="14.127063903281519"/>
    <n v="1.9438882484042561"/>
    <n v="7720.6"/>
    <n v="-817957"/>
    <x v="0"/>
    <x v="3"/>
  </r>
  <r>
    <s v="C0467"/>
    <x v="27"/>
    <x v="3"/>
    <x v="3"/>
    <n v="7320.01"/>
    <x v="466"/>
    <x v="466"/>
    <n v="3707"/>
    <n v="151"/>
    <n v="3776.7"/>
    <n v="2.5941217634709586E-2"/>
    <n v="1.99840571891017"/>
    <n v="49.060198675496693"/>
    <n v="0.50980752123691797"/>
    <n v="-3631.3900000000003"/>
    <n v="-740809"/>
    <x v="0"/>
    <x v="2"/>
  </r>
  <r>
    <s v="C0468"/>
    <x v="170"/>
    <x v="3"/>
    <x v="2"/>
    <n v="4173.33"/>
    <x v="467"/>
    <x v="467"/>
    <n v="4601"/>
    <n v="675"/>
    <n v="28412.14"/>
    <n v="2.3240425510420559E-2"/>
    <n v="0.73561834383829605"/>
    <n v="5.0141925925925923"/>
    <n v="8.3945836706474655"/>
    <n v="25027.559999999998"/>
    <n v="-338458.00000000017"/>
    <x v="0"/>
    <x v="1"/>
  </r>
  <r>
    <s v="C0469"/>
    <x v="164"/>
    <x v="0"/>
    <x v="1"/>
    <n v="7646.63"/>
    <x v="468"/>
    <x v="468"/>
    <n v="4290"/>
    <n v="391"/>
    <n v="17722.12"/>
    <n v="4.1978159614857721E-2"/>
    <n v="1.6797435897435897"/>
    <n v="18.429923273657291"/>
    <n v="2.4593219633366172"/>
    <n v="10516.019999999999"/>
    <n v="-720610"/>
    <x v="0"/>
    <x v="6"/>
  </r>
  <r>
    <s v="C0470"/>
    <x v="150"/>
    <x v="0"/>
    <x v="0"/>
    <n v="8639.69"/>
    <x v="469"/>
    <x v="469"/>
    <n v="2351"/>
    <n v="159"/>
    <n v="7321.65"/>
    <n v="3.2606585115530773E-2"/>
    <n v="3.5852573373032754"/>
    <n v="53.012201257861641"/>
    <n v="0.86863235472075961"/>
    <n v="-1107.2900000000009"/>
    <n v="-842894"/>
    <x v="0"/>
    <x v="1"/>
  </r>
  <r>
    <s v="C0471"/>
    <x v="44"/>
    <x v="0"/>
    <x v="2"/>
    <n v="4440.8900000000003"/>
    <x v="470"/>
    <x v="470"/>
    <n v="4757"/>
    <n v="629"/>
    <n v="17670.18"/>
    <n v="3.4316342283331649E-2"/>
    <n v="0.77818372924111834"/>
    <n v="5.8852464228934815"/>
    <n v="4.7733763392061199"/>
    <n v="13968.36"/>
    <n v="-370182"/>
    <x v="0"/>
    <x v="0"/>
  </r>
  <r>
    <s v="C0472"/>
    <x v="57"/>
    <x v="4"/>
    <x v="1"/>
    <n v="3399.61"/>
    <x v="471"/>
    <x v="471"/>
    <n v="3158"/>
    <n v="620"/>
    <n v="29820.87"/>
    <n v="4.2035486576064533E-2"/>
    <n v="1.0327485750474985"/>
    <n v="5.2603548387096772"/>
    <n v="9.1435233732545935"/>
    <n v="26559.449999999997"/>
    <n v="-326142.00000000017"/>
    <x v="1"/>
    <x v="5"/>
  </r>
  <r>
    <s v="C0473"/>
    <x v="1"/>
    <x v="3"/>
    <x v="2"/>
    <n v="3275.4"/>
    <x v="472"/>
    <x v="472"/>
    <n v="3012"/>
    <n v="475"/>
    <n v="15943.84"/>
    <n v="4.5840562505707241E-2"/>
    <n v="0.90979747675962819"/>
    <n v="5.7690736842105261"/>
    <n v="5.8182614375745816"/>
    <n v="13203.53"/>
    <n v="-274030.99999999994"/>
    <x v="0"/>
    <x v="1"/>
  </r>
  <r>
    <s v="C0474"/>
    <x v="171"/>
    <x v="4"/>
    <x v="1"/>
    <n v="9537.1299999999992"/>
    <x v="473"/>
    <x v="473"/>
    <n v="2333"/>
    <n v="272"/>
    <n v="9579.0400000000009"/>
    <n v="3.8972971167017471E-2"/>
    <n v="3.6580668666952425"/>
    <n v="31.375992647058826"/>
    <n v="1.1224205468071669"/>
    <n v="1044.7700000000004"/>
    <n v="-853427"/>
    <x v="0"/>
    <x v="0"/>
  </r>
  <r>
    <s v="C0475"/>
    <x v="125"/>
    <x v="3"/>
    <x v="2"/>
    <n v="3291.01"/>
    <x v="474"/>
    <x v="474"/>
    <n v="2526"/>
    <n v="392"/>
    <n v="19442.77"/>
    <n v="3.4045420850461625E-2"/>
    <n v="1.1002652414885195"/>
    <n v="7.0899744897959183"/>
    <n v="6.9956391426525668"/>
    <n v="16663.5"/>
    <n v="-277927.00000000006"/>
    <x v="0"/>
    <x v="1"/>
  </r>
  <r>
    <s v="C0476"/>
    <x v="47"/>
    <x v="4"/>
    <x v="2"/>
    <n v="9755.83"/>
    <x v="475"/>
    <x v="475"/>
    <n v="7548"/>
    <n v="1026"/>
    <n v="49816.77"/>
    <n v="4.2948101532316339E-2"/>
    <n v="1.0359194488606254"/>
    <n v="7.6209746588693958"/>
    <n v="6.3711479041119716"/>
    <n v="41997.649999999994"/>
    <n v="-781912.00000000023"/>
    <x v="0"/>
    <x v="1"/>
  </r>
  <r>
    <s v="C0477"/>
    <x v="48"/>
    <x v="1"/>
    <x v="3"/>
    <n v="7473.84"/>
    <x v="476"/>
    <x v="476"/>
    <n v="2680"/>
    <n v="75"/>
    <n v="2523.16"/>
    <n v="1.7822941051287507E-2"/>
    <n v="2.9571194029850747"/>
    <n v="105.66773333333333"/>
    <n v="0.31837659682930641"/>
    <n v="-5401.92"/>
    <n v="-792508"/>
    <x v="0"/>
    <x v="1"/>
  </r>
  <r>
    <s v="C0478"/>
    <x v="28"/>
    <x v="3"/>
    <x v="3"/>
    <n v="6609.17"/>
    <x v="477"/>
    <x v="477"/>
    <n v="2837"/>
    <n v="387"/>
    <n v="15482.29"/>
    <n v="1.4199980979933829E-2"/>
    <n v="2.2053577722946778"/>
    <n v="16.166925064599486"/>
    <n v="2.4745532717450374"/>
    <n v="9225.69"/>
    <n v="-625660"/>
    <x v="0"/>
    <x v="0"/>
  </r>
  <r>
    <s v="C0479"/>
    <x v="103"/>
    <x v="4"/>
    <x v="1"/>
    <n v="3977.56"/>
    <x v="478"/>
    <x v="478"/>
    <n v="3716"/>
    <n v="153"/>
    <n v="4473.3999999999996"/>
    <n v="2.0295142491998819E-2"/>
    <n v="0.86593379978471474"/>
    <n v="21.031437908496731"/>
    <n v="1.3902001671944582"/>
    <n v="1255.5899999999997"/>
    <n v="-321781"/>
    <x v="0"/>
    <x v="0"/>
  </r>
  <r>
    <s v="C0480"/>
    <x v="137"/>
    <x v="0"/>
    <x v="3"/>
    <n v="7932.77"/>
    <x v="479"/>
    <x v="479"/>
    <n v="8283"/>
    <n v="370"/>
    <n v="14875.1"/>
    <n v="4.8594325675263415E-2"/>
    <n v="0.82416877942774358"/>
    <n v="18.450243243243243"/>
    <n v="2.1789941976887435"/>
    <n v="8048.51"/>
    <n v="-682659"/>
    <x v="0"/>
    <x v="2"/>
  </r>
  <r>
    <s v="C0481"/>
    <x v="54"/>
    <x v="1"/>
    <x v="3"/>
    <n v="9789.3799999999992"/>
    <x v="480"/>
    <x v="480"/>
    <n v="1117"/>
    <n v="118"/>
    <n v="4741.01"/>
    <n v="9.4583266298043141E-3"/>
    <n v="7.2580752014324084"/>
    <n v="68.705677966101703"/>
    <n v="0.58478501394427473"/>
    <n v="-3366.26"/>
    <n v="-810727"/>
    <x v="0"/>
    <x v="4"/>
  </r>
  <r>
    <s v="C0482"/>
    <x v="117"/>
    <x v="0"/>
    <x v="1"/>
    <n v="6106.25"/>
    <x v="481"/>
    <x v="481"/>
    <n v="2582"/>
    <n v="147"/>
    <n v="3721.23"/>
    <n v="2.2316335350043216E-2"/>
    <n v="2.5078737412858247"/>
    <n v="44.049863945578231"/>
    <n v="0.57467804729643124"/>
    <n v="-2754.1"/>
    <n v="-647533"/>
    <x v="0"/>
    <x v="0"/>
  </r>
  <r>
    <s v="C0483"/>
    <x v="54"/>
    <x v="2"/>
    <x v="2"/>
    <n v="7848.38"/>
    <x v="482"/>
    <x v="482"/>
    <n v="2245"/>
    <n v="185"/>
    <n v="8942.61"/>
    <n v="4.0434422391124242E-2"/>
    <n v="3.675750556792873"/>
    <n v="44.605729729729724"/>
    <n v="1.0836821351274712"/>
    <n v="690.55000000000109"/>
    <n v="-825206"/>
    <x v="0"/>
    <x v="4"/>
  </r>
  <r>
    <s v="C0484"/>
    <x v="80"/>
    <x v="1"/>
    <x v="1"/>
    <n v="7782.74"/>
    <x v="483"/>
    <x v="483"/>
    <n v="3586"/>
    <n v="622"/>
    <n v="23969.03"/>
    <n v="2.3822335598647455E-2"/>
    <n v="2.059958170663692"/>
    <n v="11.876221864951768"/>
    <n v="3.24475396676057"/>
    <n v="16582.019999999997"/>
    <n v="-738701.00000000023"/>
    <x v="0"/>
    <x v="2"/>
  </r>
  <r>
    <s v="C0485"/>
    <x v="77"/>
    <x v="3"/>
    <x v="1"/>
    <n v="9082.33"/>
    <x v="484"/>
    <x v="484"/>
    <n v="2459"/>
    <n v="416"/>
    <n v="8699.23"/>
    <n v="2.3761209029066171E-2"/>
    <n v="3.5870679137860919"/>
    <n v="21.203365384615385"/>
    <n v="0.98624016506813583"/>
    <n v="-121.3700000000008"/>
    <n v="-882060"/>
    <x v="0"/>
    <x v="2"/>
  </r>
  <r>
    <s v="C0486"/>
    <x v="1"/>
    <x v="4"/>
    <x v="2"/>
    <n v="9516.64"/>
    <x v="485"/>
    <x v="485"/>
    <n v="2681"/>
    <n v="448"/>
    <n v="18052.34"/>
    <n v="3.1657751484879613E-2"/>
    <n v="3.574005967922417"/>
    <n v="21.388191964285713"/>
    <n v="1.8840022500733153"/>
    <n v="8470.43"/>
    <n v="-958191"/>
    <x v="0"/>
    <x v="1"/>
  </r>
  <r>
    <s v="C0487"/>
    <x v="140"/>
    <x v="4"/>
    <x v="2"/>
    <n v="4509.7299999999996"/>
    <x v="486"/>
    <x v="486"/>
    <n v="5682"/>
    <n v="699"/>
    <n v="22239.34"/>
    <n v="3.8451387620033702E-2"/>
    <n v="0.79183386131643785"/>
    <n v="6.4366237482117308"/>
    <n v="4.9429543029871983"/>
    <n v="17740.14"/>
    <n v="-449920.00000000006"/>
    <x v="0"/>
    <x v="4"/>
  </r>
  <r>
    <s v="C0488"/>
    <x v="108"/>
    <x v="0"/>
    <x v="3"/>
    <n v="7558.63"/>
    <x v="487"/>
    <x v="487"/>
    <n v="4673"/>
    <n v="506"/>
    <n v="20106.09"/>
    <n v="4.1485045675274987E-2"/>
    <n v="1.3457329338754547"/>
    <n v="12.428083003952569"/>
    <n v="3.197223233751179"/>
    <n v="13817.48"/>
    <n v="-628861"/>
    <x v="0"/>
    <x v="4"/>
  </r>
  <r>
    <s v="C0489"/>
    <x v="87"/>
    <x v="2"/>
    <x v="2"/>
    <n v="9995.9"/>
    <x v="488"/>
    <x v="488"/>
    <n v="4587"/>
    <n v="250"/>
    <n v="12328.81"/>
    <n v="4.6108380326286905E-2"/>
    <n v="1.7748637453673426"/>
    <n v="32.565199999999997"/>
    <n v="1.5143539729527224"/>
    <n v="4187.5099999999993"/>
    <n v="-814130"/>
    <x v="0"/>
    <x v="1"/>
  </r>
  <r>
    <s v="C0490"/>
    <x v="8"/>
    <x v="3"/>
    <x v="1"/>
    <n v="5848.36"/>
    <x v="489"/>
    <x v="489"/>
    <n v="6009"/>
    <n v="332"/>
    <n v="14432.56"/>
    <n v="3.602539583570645E-2"/>
    <n v="1.032855716425362"/>
    <n v="18.694066265060243"/>
    <n v="2.3254205718907648"/>
    <n v="8226.1299999999992"/>
    <n v="-620643"/>
    <x v="0"/>
    <x v="4"/>
  </r>
  <r>
    <s v="C0491"/>
    <x v="172"/>
    <x v="3"/>
    <x v="0"/>
    <n v="6969.11"/>
    <x v="490"/>
    <x v="490"/>
    <n v="2927"/>
    <n v="300"/>
    <n v="13906.64"/>
    <n v="4.563028092164749E-2"/>
    <n v="2.4322480355312606"/>
    <n v="23.730633333333333"/>
    <n v="1.9534020021940699"/>
    <n v="6787.45"/>
    <n v="-711919"/>
    <x v="0"/>
    <x v="3"/>
  </r>
  <r>
    <s v="C0492"/>
    <x v="172"/>
    <x v="4"/>
    <x v="0"/>
    <n v="5828.98"/>
    <x v="491"/>
    <x v="491"/>
    <n v="3604"/>
    <n v="431"/>
    <n v="17251.98"/>
    <n v="2.1723799133218005E-2"/>
    <n v="1.4525693673695894"/>
    <n v="12.14631090487239"/>
    <n v="3.2954693929009404"/>
    <n v="12016.919999999998"/>
    <n v="-523506.00000000012"/>
    <x v="0"/>
    <x v="3"/>
  </r>
  <r>
    <s v="C0493"/>
    <x v="120"/>
    <x v="2"/>
    <x v="0"/>
    <n v="8654.92"/>
    <x v="492"/>
    <x v="492"/>
    <n v="1523"/>
    <n v="135"/>
    <n v="5931.15"/>
    <n v="2.9087644913004449E-2"/>
    <n v="5.8458240315167433"/>
    <n v="65.949555555555563"/>
    <n v="0.66618257051685958"/>
    <n v="-2972.0400000000009"/>
    <n v="-890319"/>
    <x v="0"/>
    <x v="2"/>
  </r>
  <r>
    <s v="C0494"/>
    <x v="135"/>
    <x v="1"/>
    <x v="0"/>
    <n v="6049.08"/>
    <x v="493"/>
    <x v="493"/>
    <n v="7199"/>
    <n v="503"/>
    <n v="11873.95"/>
    <n v="4.5390634359178061E-2"/>
    <n v="0.87837338519238783"/>
    <n v="12.571391650099404"/>
    <n v="1.8777763896378696"/>
    <n v="5550.5400000000009"/>
    <n v="-632341"/>
    <x v="0"/>
    <x v="0"/>
  </r>
  <r>
    <s v="C0495"/>
    <x v="60"/>
    <x v="3"/>
    <x v="2"/>
    <n v="6811.42"/>
    <x v="494"/>
    <x v="494"/>
    <n v="2346"/>
    <n v="170"/>
    <n v="5055.3900000000003"/>
    <n v="3.1870669745958431E-2"/>
    <n v="2.3277493606138107"/>
    <n v="32.122941176470583"/>
    <n v="0.92574300939405607"/>
    <n v="-405.50999999999931"/>
    <n v="-546090"/>
    <x v="0"/>
    <x v="4"/>
  </r>
  <r>
    <s v="C0496"/>
    <x v="46"/>
    <x v="3"/>
    <x v="3"/>
    <n v="5565.23"/>
    <x v="495"/>
    <x v="495"/>
    <n v="1577"/>
    <n v="305"/>
    <n v="12463.52"/>
    <n v="2.3478092572466466E-2"/>
    <n v="3.2426252377932783"/>
    <n v="16.765967213114752"/>
    <n v="2.437318377196585"/>
    <n v="7349.9000000000005"/>
    <n v="-511362"/>
    <x v="0"/>
    <x v="1"/>
  </r>
  <r>
    <s v="C0497"/>
    <x v="160"/>
    <x v="4"/>
    <x v="2"/>
    <n v="5719.91"/>
    <x v="496"/>
    <x v="496"/>
    <n v="2741"/>
    <n v="345"/>
    <n v="9358.58"/>
    <n v="1.7959520642637644E-2"/>
    <n v="1.9503356439255746"/>
    <n v="15.495275362318841"/>
    <n v="1.750618701913814"/>
    <n v="4012.71"/>
    <n v="-534587"/>
    <x v="0"/>
    <x v="4"/>
  </r>
  <r>
    <s v="C0498"/>
    <x v="64"/>
    <x v="1"/>
    <x v="0"/>
    <n v="5612.76"/>
    <x v="497"/>
    <x v="497"/>
    <n v="2915"/>
    <n v="150"/>
    <n v="3329.38"/>
    <n v="2.7005743931813972E-2"/>
    <n v="1.6716603773584906"/>
    <n v="32.485933333333335"/>
    <n v="0.68324546624282512"/>
    <n v="-1543.5100000000002"/>
    <n v="-487289.00000000006"/>
    <x v="1"/>
    <x v="5"/>
  </r>
  <r>
    <s v="C0499"/>
    <x v="71"/>
    <x v="2"/>
    <x v="1"/>
    <n v="7224.14"/>
    <x v="498"/>
    <x v="498"/>
    <n v="3169"/>
    <n v="620"/>
    <n v="23922.52"/>
    <n v="4.6036957406008487E-2"/>
    <n v="2.2806847585989272"/>
    <n v="11.657241935483871"/>
    <n v="3.3099347076232553"/>
    <n v="16695.03"/>
    <n v="-722749.00000000012"/>
    <x v="0"/>
    <x v="0"/>
  </r>
  <r>
    <s v="C0500"/>
    <x v="98"/>
    <x v="3"/>
    <x v="0"/>
    <n v="6244.46"/>
    <x v="499"/>
    <x v="499"/>
    <n v="5296"/>
    <n v="294"/>
    <n v="13494.6"/>
    <n v="3.773746241217632E-2"/>
    <n v="1.0776132930513596"/>
    <n v="19.411700680272109"/>
    <n v="2.3645532535254703"/>
    <n v="7787.56"/>
    <n v="-57070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FB347F-E381-4820-B0BB-D7ED3219F2AB}"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0:D24" firstHeaderRow="1" firstDataRow="1" firstDataCol="1"/>
  <pivotFields count="21">
    <pivotField showAll="0"/>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axis="axisRow" showAll="0">
      <items count="6">
        <item x="1"/>
        <item h="1" x="0"/>
        <item x="4"/>
        <item h="1" x="3"/>
        <item x="2"/>
        <item t="default"/>
      </items>
    </pivotField>
    <pivotField showAll="0">
      <items count="5">
        <item h="1" x="0"/>
        <item x="2"/>
        <item h="1" x="1"/>
        <item h="1"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2"/>
    </i>
    <i>
      <x v="4"/>
    </i>
    <i t="grand">
      <x/>
    </i>
  </rowItems>
  <colItems count="1">
    <i/>
  </colItems>
  <dataFields count="1">
    <dataField name="Sum of Budget ($)" fld="4" baseField="0" baseItem="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A961A4-5A5B-433B-9CDE-8EE1683B2EBB}"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9" firstHeaderRow="1" firstDataRow="1" firstDataCol="1"/>
  <pivotFields count="21">
    <pivotField showAll="0"/>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items count="6">
        <item x="1"/>
        <item h="1" x="0"/>
        <item x="4"/>
        <item h="1" x="3"/>
        <item x="2"/>
        <item t="default"/>
      </items>
    </pivotField>
    <pivotField showAll="0">
      <items count="5">
        <item h="1" x="0"/>
        <item x="2"/>
        <item h="1"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6"/>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F12E05-3994-4DA1-8344-349A0DFA3ADA}"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9:F11" firstHeaderRow="0" firstDataRow="1" firstDataCol="1"/>
  <pivotFields count="21">
    <pivotField showAll="0"/>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items count="6">
        <item x="1"/>
        <item h="1" x="0"/>
        <item x="4"/>
        <item h="1" x="3"/>
        <item x="2"/>
        <item t="default"/>
      </items>
    </pivotField>
    <pivotField showAll="0">
      <items count="5">
        <item h="1" x="0"/>
        <item x="2"/>
        <item h="1" x="1"/>
        <item h="1" x="3"/>
        <item t="default"/>
      </items>
    </pivotField>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items count="3">
        <item h="1" x="1"/>
        <item x="0"/>
        <item t="default"/>
      </items>
    </pivotField>
    <pivotField showAll="0">
      <items count="8">
        <item x="1"/>
        <item x="4"/>
        <item x="3"/>
        <item x="2"/>
        <item x="0"/>
        <item x="6"/>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20"/>
  </rowFields>
  <rowItems count="2">
    <i>
      <x v="2"/>
    </i>
    <i t="grand">
      <x/>
    </i>
  </rowItems>
  <colFields count="1">
    <field x="-2"/>
  </colFields>
  <colItems count="2">
    <i>
      <x/>
    </i>
    <i i="1">
      <x v="1"/>
    </i>
  </colItems>
  <dataFields count="2">
    <dataField name="Sum of Spend ($)" fld="5" baseField="0" baseItem="0"/>
    <dataField name="Sum of Revenue ($)"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48C6C0-BF0C-4248-B387-65428EEF74B4}"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4" firstHeaderRow="1" firstDataRow="1" firstDataCol="1"/>
  <pivotFields count="21">
    <pivotField showAll="0"/>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items count="6">
        <item x="1"/>
        <item h="1" x="0"/>
        <item x="4"/>
        <item h="1" x="3"/>
        <item x="2"/>
        <item t="default"/>
      </items>
    </pivotField>
    <pivotField showAll="0">
      <items count="5">
        <item h="1" x="0"/>
        <item x="2"/>
        <item h="1" x="1"/>
        <item h="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h="1"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6"/>
  </rowFields>
  <rowItems count="2">
    <i>
      <x v="1"/>
    </i>
    <i t="grand">
      <x/>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E2687D-FE18-46FC-BA7B-9A954C07029F}"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2:K4" firstHeaderRow="1" firstDataRow="1" firstDataCol="1"/>
  <pivotFields count="21">
    <pivotField showAll="0"/>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items count="6">
        <item x="1"/>
        <item h="1" x="0"/>
        <item x="4"/>
        <item h="1" x="3"/>
        <item x="2"/>
        <item t="default"/>
      </items>
    </pivotField>
    <pivotField axis="axisRow" showAll="0">
      <items count="5">
        <item h="1" x="0"/>
        <item x="2"/>
        <item h="1" x="1"/>
        <item h="1"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h="1"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1"/>
    </i>
    <i t="grand">
      <x/>
    </i>
  </rowItems>
  <colItems count="1">
    <i/>
  </colItems>
  <dataFields count="1">
    <dataField name="Sum of Conversions" fld="8" baseField="0" baseItem="0"/>
  </dataField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7096EA-0034-41AD-BECB-B03BC2294550}"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3" firstHeaderRow="1" firstDataRow="1" firstDataCol="1"/>
  <pivotFields count="21">
    <pivotField showAll="0"/>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axis="axisRow" showAll="0">
      <items count="6">
        <item x="1"/>
        <item h="1" x="0"/>
        <item x="4"/>
        <item h="1" x="3"/>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h="1"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2"/>
    </i>
    <i>
      <x v="4"/>
    </i>
    <i t="grand">
      <x/>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554C88-20D8-4A7F-8D24-CC818AC97A83}"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0:H14" firstHeaderRow="1" firstDataRow="1" firstDataCol="1"/>
  <pivotFields count="21">
    <pivotField showAll="0"/>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axis="axisRow" showAll="0">
      <items count="6">
        <item x="1"/>
        <item h="1" x="0"/>
        <item x="4"/>
        <item h="1" x="3"/>
        <item x="2"/>
        <item t="default"/>
      </items>
    </pivotField>
    <pivotField showAll="0">
      <items count="5">
        <item h="1" x="0"/>
        <item x="2"/>
        <item h="1" x="1"/>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
        <item h="1"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2"/>
    </i>
    <i>
      <x v="4"/>
    </i>
    <i t="grand">
      <x/>
    </i>
  </rowItems>
  <colItems count="1">
    <i/>
  </colItems>
  <dataFields count="1">
    <dataField name="Sum of ROAS"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C95BC1-0095-4640-96FC-C46A2E991E70}"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4" firstHeaderRow="1" firstDataRow="1" firstDataCol="1"/>
  <pivotFields count="21">
    <pivotField showAll="0"/>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items count="6">
        <item x="1"/>
        <item h="1" x="0"/>
        <item x="4"/>
        <item h="1" x="3"/>
        <item x="2"/>
        <item t="default"/>
      </items>
    </pivotField>
    <pivotField axis="axisRow" showAll="0">
      <items count="5">
        <item h="1" x="0"/>
        <item x="2"/>
        <item h="1" x="1"/>
        <item h="1"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h="1"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1"/>
    </i>
    <i t="grand">
      <x/>
    </i>
  </rowItems>
  <colItems count="1">
    <i/>
  </colItems>
  <dataFields count="1">
    <dataField name="Average of Revenue ($)" fld="9"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20FA06-A236-4E13-94CD-4BC1928E40B9}"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6" firstHeaderRow="1" firstDataRow="1" firstDataCol="1"/>
  <pivotFields count="21">
    <pivotField showAll="0"/>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axis="axisRow" showAll="0">
      <items count="6">
        <item x="1"/>
        <item h="1" x="0"/>
        <item x="4"/>
        <item h="1" x="3"/>
        <item x="2"/>
        <item t="default"/>
      </items>
    </pivotField>
    <pivotField showAll="0"/>
    <pivotField showAll="0"/>
    <pivotField showAll="0">
      <items count="501">
        <item x="315"/>
        <item x="294"/>
        <item x="472"/>
        <item x="474"/>
        <item x="319"/>
        <item x="446"/>
        <item x="123"/>
        <item x="152"/>
        <item x="162"/>
        <item x="57"/>
        <item x="201"/>
        <item x="33"/>
        <item x="67"/>
        <item x="95"/>
        <item x="280"/>
        <item x="346"/>
        <item x="111"/>
        <item x="79"/>
        <item x="24"/>
        <item x="153"/>
        <item x="411"/>
        <item x="56"/>
        <item x="478"/>
        <item x="143"/>
        <item x="100"/>
        <item x="296"/>
        <item x="434"/>
        <item x="425"/>
        <item x="471"/>
        <item x="41"/>
        <item x="196"/>
        <item x="74"/>
        <item x="312"/>
        <item x="349"/>
        <item x="467"/>
        <item x="224"/>
        <item x="97"/>
        <item x="104"/>
        <item x="44"/>
        <item x="118"/>
        <item x="432"/>
        <item x="14"/>
        <item x="113"/>
        <item x="320"/>
        <item x="387"/>
        <item x="285"/>
        <item x="243"/>
        <item x="398"/>
        <item x="7"/>
        <item x="19"/>
        <item x="106"/>
        <item x="176"/>
        <item x="300"/>
        <item x="199"/>
        <item x="2"/>
        <item x="365"/>
        <item x="124"/>
        <item x="200"/>
        <item x="470"/>
        <item x="456"/>
        <item x="98"/>
        <item x="405"/>
        <item x="357"/>
        <item x="407"/>
        <item x="187"/>
        <item x="36"/>
        <item x="426"/>
        <item x="182"/>
        <item x="460"/>
        <item x="5"/>
        <item x="195"/>
        <item x="344"/>
        <item x="372"/>
        <item x="221"/>
        <item x="63"/>
        <item x="30"/>
        <item x="114"/>
        <item x="231"/>
        <item x="282"/>
        <item x="267"/>
        <item x="293"/>
        <item x="173"/>
        <item x="455"/>
        <item x="464"/>
        <item x="222"/>
        <item x="440"/>
        <item x="214"/>
        <item x="202"/>
        <item x="48"/>
        <item x="207"/>
        <item x="227"/>
        <item x="250"/>
        <item x="242"/>
        <item x="22"/>
        <item x="373"/>
        <item x="310"/>
        <item x="295"/>
        <item x="164"/>
        <item x="12"/>
        <item x="223"/>
        <item x="404"/>
        <item x="388"/>
        <item x="192"/>
        <item x="129"/>
        <item x="35"/>
        <item x="429"/>
        <item x="179"/>
        <item x="442"/>
        <item x="78"/>
        <item x="99"/>
        <item x="37"/>
        <item x="60"/>
        <item x="336"/>
        <item x="251"/>
        <item x="81"/>
        <item x="486"/>
        <item x="234"/>
        <item x="457"/>
        <item x="193"/>
        <item x="47"/>
        <item x="289"/>
        <item x="213"/>
        <item x="413"/>
        <item x="103"/>
        <item x="39"/>
        <item x="26"/>
        <item x="261"/>
        <item x="71"/>
        <item x="28"/>
        <item x="94"/>
        <item x="325"/>
        <item x="291"/>
        <item x="391"/>
        <item x="284"/>
        <item x="461"/>
        <item x="236"/>
        <item x="308"/>
        <item x="254"/>
        <item x="430"/>
        <item x="356"/>
        <item x="21"/>
        <item x="497"/>
        <item x="230"/>
        <item x="232"/>
        <item x="96"/>
        <item x="185"/>
        <item x="274"/>
        <item x="376"/>
        <item x="290"/>
        <item x="248"/>
        <item x="34"/>
        <item x="441"/>
        <item x="421"/>
        <item x="156"/>
        <item x="155"/>
        <item x="401"/>
        <item x="363"/>
        <item x="458"/>
        <item x="45"/>
        <item x="20"/>
        <item x="218"/>
        <item x="428"/>
        <item x="444"/>
        <item x="420"/>
        <item x="321"/>
        <item x="423"/>
        <item x="13"/>
        <item x="229"/>
        <item x="495"/>
        <item x="75"/>
        <item x="396"/>
        <item x="277"/>
        <item x="247"/>
        <item x="491"/>
        <item x="333"/>
        <item x="389"/>
        <item x="419"/>
        <item x="141"/>
        <item x="329"/>
        <item x="139"/>
        <item x="49"/>
        <item x="417"/>
        <item x="188"/>
        <item x="377"/>
        <item x="165"/>
        <item x="6"/>
        <item x="496"/>
        <item x="305"/>
        <item x="463"/>
        <item x="409"/>
        <item x="279"/>
        <item x="72"/>
        <item x="422"/>
        <item x="318"/>
        <item x="494"/>
        <item x="219"/>
        <item x="125"/>
        <item x="303"/>
        <item x="65"/>
        <item x="246"/>
        <item x="116"/>
        <item x="273"/>
        <item x="211"/>
        <item x="436"/>
        <item x="288"/>
        <item x="110"/>
        <item x="256"/>
        <item x="375"/>
        <item x="120"/>
        <item x="311"/>
        <item x="286"/>
        <item x="499"/>
        <item x="194"/>
        <item x="86"/>
        <item x="175"/>
        <item x="68"/>
        <item x="16"/>
        <item x="238"/>
        <item x="212"/>
        <item x="283"/>
        <item x="172"/>
        <item x="408"/>
        <item x="287"/>
        <item x="102"/>
        <item x="459"/>
        <item x="278"/>
        <item x="220"/>
        <item x="167"/>
        <item x="46"/>
        <item x="43"/>
        <item x="144"/>
        <item x="1"/>
        <item x="268"/>
        <item x="204"/>
        <item x="0"/>
        <item x="379"/>
        <item x="233"/>
        <item x="438"/>
        <item x="381"/>
        <item x="69"/>
        <item x="449"/>
        <item x="59"/>
        <item x="10"/>
        <item x="32"/>
        <item x="415"/>
        <item x="362"/>
        <item x="489"/>
        <item x="313"/>
        <item x="477"/>
        <item x="443"/>
        <item x="487"/>
        <item x="493"/>
        <item x="323"/>
        <item x="326"/>
        <item x="77"/>
        <item x="203"/>
        <item x="397"/>
        <item x="197"/>
        <item x="378"/>
        <item x="58"/>
        <item x="8"/>
        <item x="3"/>
        <item x="433"/>
        <item x="264"/>
        <item x="9"/>
        <item x="481"/>
        <item x="331"/>
        <item x="445"/>
        <item x="189"/>
        <item x="142"/>
        <item x="145"/>
        <item x="262"/>
        <item x="317"/>
        <item x="82"/>
        <item x="146"/>
        <item x="301"/>
        <item x="272"/>
        <item x="217"/>
        <item x="371"/>
        <item x="298"/>
        <item x="168"/>
        <item x="447"/>
        <item x="27"/>
        <item x="184"/>
        <item x="208"/>
        <item x="209"/>
        <item x="406"/>
        <item x="439"/>
        <item x="400"/>
        <item x="359"/>
        <item x="309"/>
        <item x="109"/>
        <item x="237"/>
        <item x="170"/>
        <item x="304"/>
        <item x="15"/>
        <item x="479"/>
        <item x="190"/>
        <item x="134"/>
        <item x="307"/>
        <item x="424"/>
        <item x="133"/>
        <item x="70"/>
        <item x="364"/>
        <item x="138"/>
        <item x="327"/>
        <item x="340"/>
        <item x="385"/>
        <item x="324"/>
        <item x="306"/>
        <item x="360"/>
        <item x="392"/>
        <item x="51"/>
        <item x="252"/>
        <item x="462"/>
        <item x="345"/>
        <item x="355"/>
        <item x="490"/>
        <item x="343"/>
        <item x="322"/>
        <item x="54"/>
        <item x="31"/>
        <item x="89"/>
        <item x="255"/>
        <item x="253"/>
        <item x="468"/>
        <item x="161"/>
        <item x="498"/>
        <item x="115"/>
        <item x="418"/>
        <item x="258"/>
        <item x="105"/>
        <item x="402"/>
        <item x="454"/>
        <item x="249"/>
        <item x="244"/>
        <item x="158"/>
        <item x="386"/>
        <item x="53"/>
        <item x="171"/>
        <item x="121"/>
        <item x="483"/>
        <item x="393"/>
        <item x="466"/>
        <item x="85"/>
        <item x="299"/>
        <item x="160"/>
        <item x="257"/>
        <item x="339"/>
        <item x="159"/>
        <item x="149"/>
        <item x="370"/>
        <item x="260"/>
        <item x="181"/>
        <item x="101"/>
        <item x="448"/>
        <item x="131"/>
        <item x="4"/>
        <item x="276"/>
        <item x="451"/>
        <item x="347"/>
        <item x="366"/>
        <item x="427"/>
        <item x="335"/>
        <item x="453"/>
        <item x="328"/>
        <item x="119"/>
        <item x="126"/>
        <item x="352"/>
        <item x="136"/>
        <item x="205"/>
        <item x="18"/>
        <item x="354"/>
        <item x="191"/>
        <item x="151"/>
        <item x="127"/>
        <item x="475"/>
        <item x="353"/>
        <item x="302"/>
        <item x="38"/>
        <item x="384"/>
        <item x="332"/>
        <item x="52"/>
        <item x="476"/>
        <item x="55"/>
        <item x="314"/>
        <item x="380"/>
        <item x="29"/>
        <item x="157"/>
        <item x="241"/>
        <item x="83"/>
        <item x="107"/>
        <item x="292"/>
        <item x="390"/>
        <item x="154"/>
        <item x="84"/>
        <item x="394"/>
        <item x="61"/>
        <item x="183"/>
        <item x="410"/>
        <item x="216"/>
        <item x="480"/>
        <item x="431"/>
        <item x="488"/>
        <item x="263"/>
        <item x="50"/>
        <item x="150"/>
        <item x="239"/>
        <item x="186"/>
        <item x="240"/>
        <item x="465"/>
        <item x="259"/>
        <item x="281"/>
        <item x="225"/>
        <item x="482"/>
        <item x="25"/>
        <item x="87"/>
        <item x="132"/>
        <item x="369"/>
        <item x="245"/>
        <item x="469"/>
        <item x="62"/>
        <item x="128"/>
        <item x="266"/>
        <item x="368"/>
        <item x="135"/>
        <item x="412"/>
        <item x="275"/>
        <item x="473"/>
        <item x="210"/>
        <item x="92"/>
        <item x="338"/>
        <item x="382"/>
        <item x="452"/>
        <item x="163"/>
        <item x="330"/>
        <item x="198"/>
        <item x="350"/>
        <item x="484"/>
        <item x="450"/>
        <item x="414"/>
        <item x="206"/>
        <item x="140"/>
        <item x="269"/>
        <item x="492"/>
        <item x="235"/>
        <item x="73"/>
        <item x="316"/>
        <item x="437"/>
        <item x="91"/>
        <item x="117"/>
        <item x="215"/>
        <item x="147"/>
        <item x="90"/>
        <item x="348"/>
        <item x="178"/>
        <item x="112"/>
        <item x="17"/>
        <item x="93"/>
        <item x="76"/>
        <item x="130"/>
        <item x="383"/>
        <item x="228"/>
        <item x="358"/>
        <item x="64"/>
        <item x="435"/>
        <item x="42"/>
        <item x="40"/>
        <item x="403"/>
        <item x="334"/>
        <item x="416"/>
        <item x="88"/>
        <item x="148"/>
        <item x="374"/>
        <item x="297"/>
        <item x="351"/>
        <item x="169"/>
        <item x="180"/>
        <item x="342"/>
        <item x="66"/>
        <item x="485"/>
        <item x="395"/>
        <item x="265"/>
        <item x="108"/>
        <item x="361"/>
        <item x="271"/>
        <item x="399"/>
        <item x="23"/>
        <item x="174"/>
        <item x="226"/>
        <item x="270"/>
        <item x="80"/>
        <item x="367"/>
        <item x="122"/>
        <item x="137"/>
        <item x="11"/>
        <item x="341"/>
        <item x="337"/>
        <item x="166"/>
        <item x="177"/>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h="1"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2"/>
    </i>
    <i>
      <x v="4"/>
    </i>
    <i t="grand">
      <x/>
    </i>
  </rowItems>
  <colItems count="1">
    <i/>
  </colItems>
  <dataFields count="1">
    <dataField name="Average of Profit" fld="1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55442BC-0E2D-47EB-93DC-A64EE8BBB79A}" sourceName="Channel">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s>
  <data>
    <tabular pivotCacheId="2142353306">
      <items count="5">
        <i x="1" s="1"/>
        <i x="0"/>
        <i x="4" s="1"/>
        <i x="3"/>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E134E1-58B8-440D-9A6F-BF66CA377B01}" sourceName="Region">
  <pivotTables>
    <pivotTable tabId="2" name="PivotTable4"/>
    <pivotTable tabId="2" name="PivotTable1"/>
    <pivotTable tabId="2" name="PivotTable10"/>
    <pivotTable tabId="2" name="PivotTable3"/>
    <pivotTable tabId="2" name="PivotTable5"/>
    <pivotTable tabId="2" name="PivotTable7"/>
    <pivotTable tabId="2" name="PivotTable8"/>
  </pivotTables>
  <data>
    <tabular pivotCacheId="2142353306">
      <items count="4">
        <i x="0"/>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8FD18D6-4503-44C9-A864-FC22D2BE2C9D}" sourceName="Year">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s>
  <data>
    <tabular pivotCacheId="2142353306">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519F5DB4-0A60-46C4-A611-01F67A91BC72}" cache="Slicer_Channel" caption="Channel" rowHeight="234950"/>
  <slicer name="Region 1" xr10:uid="{60106D70-716D-491B-A022-C1E0F6781CAB}" cache="Slicer_Region" caption="Region" rowHeight="234950"/>
  <slicer name="Year 1" xr10:uid="{B99E4F31-EAB2-4DA8-B9E4-E101AACF8AE2}" cache="Slicer_Year" caption="Year"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1"/>
  <sheetViews>
    <sheetView topLeftCell="G1" workbookViewId="0">
      <selection activeCell="U8" sqref="U8"/>
    </sheetView>
  </sheetViews>
  <sheetFormatPr defaultRowHeight="14.4" x14ac:dyDescent="0.3"/>
  <cols>
    <col min="1" max="1" width="19.5546875" customWidth="1"/>
    <col min="2" max="2" width="12.21875" customWidth="1"/>
    <col min="3" max="3" width="11.33203125" customWidth="1"/>
    <col min="5" max="5" width="12.109375" customWidth="1"/>
    <col min="6" max="6" width="13.21875" customWidth="1"/>
    <col min="7" max="7" width="11.44140625" customWidth="1"/>
    <col min="8" max="8" width="12.109375" customWidth="1"/>
    <col min="9" max="9" width="13.77734375" customWidth="1"/>
    <col min="10" max="10" width="12.21875" customWidth="1"/>
    <col min="11" max="11" width="14.88671875" customWidth="1"/>
    <col min="12" max="12" width="11.6640625" customWidth="1"/>
    <col min="16" max="16" width="13.44140625" customWidth="1"/>
    <col min="19" max="20" width="17.21875" customWidth="1"/>
  </cols>
  <sheetData>
    <row r="1" spans="1:20" x14ac:dyDescent="0.3">
      <c r="A1" s="1" t="s">
        <v>0</v>
      </c>
      <c r="B1" s="1" t="s">
        <v>1</v>
      </c>
      <c r="C1" s="1" t="s">
        <v>2</v>
      </c>
      <c r="D1" s="1" t="s">
        <v>3</v>
      </c>
      <c r="E1" s="1" t="s">
        <v>4</v>
      </c>
      <c r="F1" s="1" t="s">
        <v>5</v>
      </c>
      <c r="G1" s="1" t="s">
        <v>6</v>
      </c>
      <c r="H1" s="1" t="s">
        <v>7</v>
      </c>
      <c r="I1" s="1" t="s">
        <v>8</v>
      </c>
      <c r="J1" s="1" t="s">
        <v>9</v>
      </c>
      <c r="K1" s="3" t="s">
        <v>519</v>
      </c>
      <c r="L1" s="3" t="s">
        <v>520</v>
      </c>
      <c r="M1" s="3" t="s">
        <v>521</v>
      </c>
      <c r="N1" s="3" t="s">
        <v>522</v>
      </c>
      <c r="O1" s="3" t="s">
        <v>523</v>
      </c>
      <c r="P1" s="3" t="s">
        <v>524</v>
      </c>
      <c r="Q1" s="3" t="s">
        <v>525</v>
      </c>
      <c r="R1" s="3" t="s">
        <v>526</v>
      </c>
      <c r="S1" s="3" t="s">
        <v>538</v>
      </c>
      <c r="T1" s="3"/>
    </row>
    <row r="2" spans="1:20" x14ac:dyDescent="0.3">
      <c r="A2" t="s">
        <v>10</v>
      </c>
      <c r="B2" s="2">
        <v>45780</v>
      </c>
      <c r="C2" t="s">
        <v>510</v>
      </c>
      <c r="D2" t="s">
        <v>515</v>
      </c>
      <c r="E2">
        <v>5621.78</v>
      </c>
      <c r="F2">
        <v>6100.84</v>
      </c>
      <c r="G2">
        <v>120704</v>
      </c>
      <c r="H2">
        <v>5511</v>
      </c>
      <c r="I2">
        <v>1050</v>
      </c>
      <c r="J2">
        <v>44057.81</v>
      </c>
      <c r="K2">
        <f>((H2/G2)*100)</f>
        <v>4.5657144750795329</v>
      </c>
      <c r="L2">
        <f>(F2/H2)</f>
        <v>1.107029577209218</v>
      </c>
      <c r="M2">
        <f t="shared" ref="M2:M65" si="0">(F2/I2)</f>
        <v>5.8103238095238092</v>
      </c>
      <c r="N2">
        <f>(J2/F2)</f>
        <v>7.2215973538070166</v>
      </c>
      <c r="O2">
        <f>(J2-F2)</f>
        <v>37956.97</v>
      </c>
      <c r="P2">
        <f>(O2-J2)*100</f>
        <v>-610083.99999999965</v>
      </c>
      <c r="Q2">
        <f>YEAR(B2)</f>
        <v>2025</v>
      </c>
      <c r="R2">
        <f>MONTH(B2)</f>
        <v>5</v>
      </c>
      <c r="S2">
        <f>(I2/H2)*100</f>
        <v>19.052803483941208</v>
      </c>
    </row>
    <row r="3" spans="1:20" x14ac:dyDescent="0.3">
      <c r="A3" t="s">
        <v>11</v>
      </c>
      <c r="B3" s="2">
        <v>45674</v>
      </c>
      <c r="C3" t="s">
        <v>511</v>
      </c>
      <c r="D3" t="s">
        <v>516</v>
      </c>
      <c r="E3">
        <v>7190.61</v>
      </c>
      <c r="F3">
        <v>6089.05</v>
      </c>
      <c r="G3">
        <v>64473</v>
      </c>
      <c r="H3">
        <v>1120</v>
      </c>
      <c r="I3">
        <v>72</v>
      </c>
      <c r="J3">
        <v>1776.95</v>
      </c>
      <c r="K3">
        <f t="shared" ref="K3:K66" si="1">((H3/G3)*100)</f>
        <v>1.7371612923239184</v>
      </c>
      <c r="L3">
        <f t="shared" ref="L3:L66" si="2">(F3/H3)</f>
        <v>5.436651785714286</v>
      </c>
      <c r="M3">
        <f t="shared" si="0"/>
        <v>84.570138888888891</v>
      </c>
      <c r="N3">
        <f t="shared" ref="N3:N66" si="3">(J3/F3)</f>
        <v>0.2918271323112801</v>
      </c>
      <c r="O3">
        <f t="shared" ref="O3:O66" si="4">(J3-F3)</f>
        <v>-4312.1000000000004</v>
      </c>
      <c r="P3">
        <f t="shared" ref="P3:P66" si="5">(O3-J3)*100</f>
        <v>-608905</v>
      </c>
      <c r="Q3">
        <f t="shared" ref="Q3:Q66" si="6">YEAR(B3)</f>
        <v>2025</v>
      </c>
      <c r="R3">
        <f t="shared" ref="R3:R66" si="7">MONTH(B3)</f>
        <v>1</v>
      </c>
      <c r="S3">
        <f t="shared" ref="S3:S66" si="8">(I3/H3)*100</f>
        <v>6.4285714285714279</v>
      </c>
    </row>
    <row r="4" spans="1:20" x14ac:dyDescent="0.3">
      <c r="A4" t="s">
        <v>12</v>
      </c>
      <c r="B4" s="2">
        <v>45751</v>
      </c>
      <c r="C4" t="s">
        <v>511</v>
      </c>
      <c r="D4" t="s">
        <v>517</v>
      </c>
      <c r="E4">
        <v>3406.59</v>
      </c>
      <c r="F4">
        <v>3610.48</v>
      </c>
      <c r="G4">
        <v>113908</v>
      </c>
      <c r="H4">
        <v>5345</v>
      </c>
      <c r="I4">
        <v>1004</v>
      </c>
      <c r="J4">
        <v>38185.58</v>
      </c>
      <c r="K4">
        <f t="shared" si="1"/>
        <v>4.6923833268953894</v>
      </c>
      <c r="L4">
        <f t="shared" si="2"/>
        <v>0.67548737137511694</v>
      </c>
      <c r="M4">
        <f t="shared" si="0"/>
        <v>3.5960956175298806</v>
      </c>
      <c r="N4">
        <f t="shared" si="3"/>
        <v>10.57631672243026</v>
      </c>
      <c r="O4">
        <f t="shared" si="4"/>
        <v>34575.1</v>
      </c>
      <c r="P4">
        <f t="shared" si="5"/>
        <v>-361048.00000000035</v>
      </c>
      <c r="Q4">
        <f t="shared" si="6"/>
        <v>2025</v>
      </c>
      <c r="R4">
        <f t="shared" si="7"/>
        <v>4</v>
      </c>
      <c r="S4">
        <f t="shared" si="8"/>
        <v>18.783910196445277</v>
      </c>
    </row>
    <row r="5" spans="1:20" x14ac:dyDescent="0.3">
      <c r="A5" t="s">
        <v>13</v>
      </c>
      <c r="B5" s="2">
        <v>45807</v>
      </c>
      <c r="C5" t="s">
        <v>512</v>
      </c>
      <c r="D5" t="s">
        <v>518</v>
      </c>
      <c r="E5">
        <v>7956.51</v>
      </c>
      <c r="F5">
        <v>6414.34</v>
      </c>
      <c r="G5">
        <v>91921</v>
      </c>
      <c r="H5">
        <v>3787</v>
      </c>
      <c r="I5">
        <v>329</v>
      </c>
      <c r="J5">
        <v>16153.01</v>
      </c>
      <c r="K5">
        <f t="shared" si="1"/>
        <v>4.1198420382719947</v>
      </c>
      <c r="L5">
        <f t="shared" si="2"/>
        <v>1.6937787166622658</v>
      </c>
      <c r="M5">
        <f t="shared" si="0"/>
        <v>19.49647416413374</v>
      </c>
      <c r="N5">
        <f t="shared" si="3"/>
        <v>2.5182653242578348</v>
      </c>
      <c r="O5">
        <f t="shared" si="4"/>
        <v>9738.67</v>
      </c>
      <c r="P5">
        <f t="shared" si="5"/>
        <v>-641434</v>
      </c>
      <c r="Q5">
        <f t="shared" si="6"/>
        <v>2025</v>
      </c>
      <c r="R5">
        <f t="shared" si="7"/>
        <v>5</v>
      </c>
      <c r="S5">
        <f t="shared" si="8"/>
        <v>8.6876155268022188</v>
      </c>
    </row>
    <row r="6" spans="1:20" x14ac:dyDescent="0.3">
      <c r="A6" t="s">
        <v>14</v>
      </c>
      <c r="B6" s="2">
        <v>45791</v>
      </c>
      <c r="C6" t="s">
        <v>513</v>
      </c>
      <c r="D6" t="s">
        <v>515</v>
      </c>
      <c r="E6">
        <v>8827.1</v>
      </c>
      <c r="F6">
        <v>7623.98</v>
      </c>
      <c r="G6">
        <v>191026</v>
      </c>
      <c r="H6">
        <v>8786</v>
      </c>
      <c r="I6">
        <v>423</v>
      </c>
      <c r="J6">
        <v>10767.36</v>
      </c>
      <c r="K6">
        <f t="shared" si="1"/>
        <v>4.5993739072168189</v>
      </c>
      <c r="L6">
        <f t="shared" si="2"/>
        <v>0.86774186205326653</v>
      </c>
      <c r="M6">
        <f t="shared" si="0"/>
        <v>18.023593380614656</v>
      </c>
      <c r="N6">
        <f t="shared" si="3"/>
        <v>1.4123017111797251</v>
      </c>
      <c r="O6">
        <f t="shared" si="4"/>
        <v>3143.380000000001</v>
      </c>
      <c r="P6">
        <f t="shared" si="5"/>
        <v>-762398</v>
      </c>
      <c r="Q6">
        <f t="shared" si="6"/>
        <v>2025</v>
      </c>
      <c r="R6">
        <f t="shared" si="7"/>
        <v>5</v>
      </c>
      <c r="S6">
        <f t="shared" si="8"/>
        <v>4.8144775779649445</v>
      </c>
    </row>
    <row r="7" spans="1:20" x14ac:dyDescent="0.3">
      <c r="A7" t="s">
        <v>15</v>
      </c>
      <c r="B7" s="2">
        <v>45764</v>
      </c>
      <c r="C7" t="s">
        <v>514</v>
      </c>
      <c r="D7" t="s">
        <v>516</v>
      </c>
      <c r="E7">
        <v>4283.83</v>
      </c>
      <c r="F7">
        <v>3818.06</v>
      </c>
      <c r="G7">
        <v>127588</v>
      </c>
      <c r="H7">
        <v>5087</v>
      </c>
      <c r="I7">
        <v>842</v>
      </c>
      <c r="J7">
        <v>30095.35</v>
      </c>
      <c r="K7">
        <f t="shared" si="1"/>
        <v>3.9870520738627455</v>
      </c>
      <c r="L7">
        <f t="shared" si="2"/>
        <v>0.75055238844112437</v>
      </c>
      <c r="M7">
        <f t="shared" si="0"/>
        <v>4.5345130641330167</v>
      </c>
      <c r="N7">
        <f t="shared" si="3"/>
        <v>7.8823669612316198</v>
      </c>
      <c r="O7">
        <f t="shared" si="4"/>
        <v>26277.289999999997</v>
      </c>
      <c r="P7">
        <f t="shared" si="5"/>
        <v>-381806.00000000012</v>
      </c>
      <c r="Q7">
        <f t="shared" si="6"/>
        <v>2025</v>
      </c>
      <c r="R7">
        <f t="shared" si="7"/>
        <v>4</v>
      </c>
      <c r="S7">
        <f t="shared" si="8"/>
        <v>16.551995282091607</v>
      </c>
    </row>
    <row r="8" spans="1:20" x14ac:dyDescent="0.3">
      <c r="A8" t="s">
        <v>16</v>
      </c>
      <c r="B8" s="2">
        <v>45746</v>
      </c>
      <c r="C8" t="s">
        <v>512</v>
      </c>
      <c r="D8" t="s">
        <v>517</v>
      </c>
      <c r="E8">
        <v>6023.62</v>
      </c>
      <c r="F8">
        <v>5345.17</v>
      </c>
      <c r="G8">
        <v>72336</v>
      </c>
      <c r="H8">
        <v>1340</v>
      </c>
      <c r="I8">
        <v>236</v>
      </c>
      <c r="J8">
        <v>9051.92</v>
      </c>
      <c r="K8">
        <f t="shared" si="1"/>
        <v>1.8524662685246627</v>
      </c>
      <c r="L8">
        <f t="shared" si="2"/>
        <v>3.9889328358208958</v>
      </c>
      <c r="M8">
        <f t="shared" si="0"/>
        <v>22.649025423728816</v>
      </c>
      <c r="N8">
        <f t="shared" si="3"/>
        <v>1.6934765405029213</v>
      </c>
      <c r="O8">
        <f t="shared" si="4"/>
        <v>3706.75</v>
      </c>
      <c r="P8">
        <f t="shared" si="5"/>
        <v>-534517</v>
      </c>
      <c r="Q8">
        <f t="shared" si="6"/>
        <v>2025</v>
      </c>
      <c r="R8">
        <f t="shared" si="7"/>
        <v>3</v>
      </c>
      <c r="S8">
        <f t="shared" si="8"/>
        <v>17.611940298507463</v>
      </c>
    </row>
    <row r="9" spans="1:20" x14ac:dyDescent="0.3">
      <c r="A9" t="s">
        <v>17</v>
      </c>
      <c r="B9" s="2">
        <v>45756</v>
      </c>
      <c r="C9" t="s">
        <v>511</v>
      </c>
      <c r="D9" t="s">
        <v>516</v>
      </c>
      <c r="E9">
        <v>3976.46</v>
      </c>
      <c r="F9">
        <v>3529.68</v>
      </c>
      <c r="G9">
        <v>64153</v>
      </c>
      <c r="H9">
        <v>2806</v>
      </c>
      <c r="I9">
        <v>283</v>
      </c>
      <c r="J9">
        <v>8770.41</v>
      </c>
      <c r="K9">
        <f t="shared" si="1"/>
        <v>4.3739186008448554</v>
      </c>
      <c r="L9">
        <f t="shared" si="2"/>
        <v>1.2579044903777619</v>
      </c>
      <c r="M9">
        <f t="shared" si="0"/>
        <v>12.472367491166077</v>
      </c>
      <c r="N9">
        <f t="shared" si="3"/>
        <v>2.4847606581899777</v>
      </c>
      <c r="O9">
        <f t="shared" si="4"/>
        <v>5240.7299999999996</v>
      </c>
      <c r="P9">
        <f t="shared" si="5"/>
        <v>-352968</v>
      </c>
      <c r="Q9">
        <f t="shared" si="6"/>
        <v>2025</v>
      </c>
      <c r="R9">
        <f t="shared" si="7"/>
        <v>4</v>
      </c>
      <c r="S9">
        <f t="shared" si="8"/>
        <v>10.085531004989308</v>
      </c>
    </row>
    <row r="10" spans="1:20" x14ac:dyDescent="0.3">
      <c r="A10" t="s">
        <v>18</v>
      </c>
      <c r="B10" s="2">
        <v>45690</v>
      </c>
      <c r="C10" t="s">
        <v>512</v>
      </c>
      <c r="D10" t="s">
        <v>518</v>
      </c>
      <c r="E10">
        <v>6192.49</v>
      </c>
      <c r="F10">
        <v>6412.65</v>
      </c>
      <c r="G10">
        <v>53911</v>
      </c>
      <c r="H10">
        <v>2127</v>
      </c>
      <c r="I10">
        <v>315</v>
      </c>
      <c r="J10">
        <v>8186.92</v>
      </c>
      <c r="K10">
        <f t="shared" si="1"/>
        <v>3.9453914785479771</v>
      </c>
      <c r="L10">
        <f t="shared" si="2"/>
        <v>3.0148801128349785</v>
      </c>
      <c r="M10">
        <f t="shared" si="0"/>
        <v>20.357619047619046</v>
      </c>
      <c r="N10">
        <f t="shared" si="3"/>
        <v>1.2766828066400007</v>
      </c>
      <c r="O10">
        <f t="shared" si="4"/>
        <v>1774.2700000000004</v>
      </c>
      <c r="P10">
        <f t="shared" si="5"/>
        <v>-641265</v>
      </c>
      <c r="Q10">
        <f t="shared" si="6"/>
        <v>2025</v>
      </c>
      <c r="R10">
        <f t="shared" si="7"/>
        <v>2</v>
      </c>
      <c r="S10">
        <f t="shared" si="8"/>
        <v>14.809590973201692</v>
      </c>
    </row>
    <row r="11" spans="1:20" x14ac:dyDescent="0.3">
      <c r="A11" t="s">
        <v>19</v>
      </c>
      <c r="B11" s="2">
        <v>45751</v>
      </c>
      <c r="C11" t="s">
        <v>512</v>
      </c>
      <c r="D11" t="s">
        <v>516</v>
      </c>
      <c r="E11">
        <v>6599.64</v>
      </c>
      <c r="F11">
        <v>6452.63</v>
      </c>
      <c r="G11">
        <v>185980</v>
      </c>
      <c r="H11">
        <v>5168</v>
      </c>
      <c r="I11">
        <v>68</v>
      </c>
      <c r="J11">
        <v>1454.76</v>
      </c>
      <c r="K11">
        <f t="shared" si="1"/>
        <v>2.7787934186471666</v>
      </c>
      <c r="L11">
        <f t="shared" si="2"/>
        <v>1.2485739164086687</v>
      </c>
      <c r="M11">
        <f t="shared" si="0"/>
        <v>94.891617647058823</v>
      </c>
      <c r="N11">
        <f t="shared" si="3"/>
        <v>0.22545225745161274</v>
      </c>
      <c r="O11">
        <f t="shared" si="4"/>
        <v>-4997.87</v>
      </c>
      <c r="P11">
        <f t="shared" si="5"/>
        <v>-645263</v>
      </c>
      <c r="Q11">
        <f t="shared" si="6"/>
        <v>2025</v>
      </c>
      <c r="R11">
        <f t="shared" si="7"/>
        <v>4</v>
      </c>
      <c r="S11">
        <f t="shared" si="8"/>
        <v>1.3157894736842104</v>
      </c>
    </row>
    <row r="12" spans="1:20" x14ac:dyDescent="0.3">
      <c r="A12" t="s">
        <v>20</v>
      </c>
      <c r="B12" s="2">
        <v>45744</v>
      </c>
      <c r="C12" t="s">
        <v>512</v>
      </c>
      <c r="D12" t="s">
        <v>517</v>
      </c>
      <c r="E12">
        <v>7252.81</v>
      </c>
      <c r="F12">
        <v>6173.28</v>
      </c>
      <c r="G12">
        <v>195024</v>
      </c>
      <c r="H12">
        <v>9701</v>
      </c>
      <c r="I12">
        <v>801</v>
      </c>
      <c r="J12">
        <v>17583.189999999999</v>
      </c>
      <c r="K12">
        <f t="shared" si="1"/>
        <v>4.9742595783083106</v>
      </c>
      <c r="L12">
        <f t="shared" si="2"/>
        <v>0.63635501494691271</v>
      </c>
      <c r="M12">
        <f t="shared" si="0"/>
        <v>7.7069662921348314</v>
      </c>
      <c r="N12">
        <f t="shared" si="3"/>
        <v>2.8482735272010991</v>
      </c>
      <c r="O12">
        <f t="shared" si="4"/>
        <v>11409.91</v>
      </c>
      <c r="P12">
        <f t="shared" si="5"/>
        <v>-617327.99999999988</v>
      </c>
      <c r="Q12">
        <f t="shared" si="6"/>
        <v>2025</v>
      </c>
      <c r="R12">
        <f t="shared" si="7"/>
        <v>3</v>
      </c>
      <c r="S12">
        <f t="shared" si="8"/>
        <v>8.2568807339449553</v>
      </c>
    </row>
    <row r="13" spans="1:20" x14ac:dyDescent="0.3">
      <c r="A13" t="s">
        <v>21</v>
      </c>
      <c r="B13" s="2">
        <v>45754</v>
      </c>
      <c r="C13" t="s">
        <v>514</v>
      </c>
      <c r="D13" t="s">
        <v>516</v>
      </c>
      <c r="E13">
        <v>9642.2000000000007</v>
      </c>
      <c r="F13">
        <v>10507.01</v>
      </c>
      <c r="G13">
        <v>54909</v>
      </c>
      <c r="H13">
        <v>2182</v>
      </c>
      <c r="I13">
        <v>153</v>
      </c>
      <c r="J13">
        <v>6770.54</v>
      </c>
      <c r="K13">
        <f t="shared" si="1"/>
        <v>3.9738476388205943</v>
      </c>
      <c r="L13">
        <f t="shared" si="2"/>
        <v>4.815311640696609</v>
      </c>
      <c r="M13">
        <f t="shared" si="0"/>
        <v>68.673267973856213</v>
      </c>
      <c r="N13">
        <f t="shared" si="3"/>
        <v>0.64438313088119259</v>
      </c>
      <c r="O13">
        <f t="shared" si="4"/>
        <v>-3736.4700000000003</v>
      </c>
      <c r="P13">
        <f t="shared" si="5"/>
        <v>-1050701</v>
      </c>
      <c r="Q13">
        <f t="shared" si="6"/>
        <v>2025</v>
      </c>
      <c r="R13">
        <f t="shared" si="7"/>
        <v>4</v>
      </c>
      <c r="S13">
        <f t="shared" si="8"/>
        <v>7.0119156736938582</v>
      </c>
    </row>
    <row r="14" spans="1:20" x14ac:dyDescent="0.3">
      <c r="A14" t="s">
        <v>22</v>
      </c>
      <c r="B14" s="2">
        <v>45805</v>
      </c>
      <c r="C14" t="s">
        <v>513</v>
      </c>
      <c r="D14" t="s">
        <v>518</v>
      </c>
      <c r="E14">
        <v>5132.3</v>
      </c>
      <c r="F14">
        <v>4256.22</v>
      </c>
      <c r="G14">
        <v>69520</v>
      </c>
      <c r="H14">
        <v>1141</v>
      </c>
      <c r="I14">
        <v>134</v>
      </c>
      <c r="J14">
        <v>5430.62</v>
      </c>
      <c r="K14">
        <f t="shared" si="1"/>
        <v>1.6412543153049481</v>
      </c>
      <c r="L14">
        <f t="shared" si="2"/>
        <v>3.7302541630148993</v>
      </c>
      <c r="M14">
        <f t="shared" si="0"/>
        <v>31.762835820895525</v>
      </c>
      <c r="N14">
        <f t="shared" si="3"/>
        <v>1.2759255865533266</v>
      </c>
      <c r="O14">
        <f t="shared" si="4"/>
        <v>1174.3999999999996</v>
      </c>
      <c r="P14">
        <f t="shared" si="5"/>
        <v>-425622</v>
      </c>
      <c r="Q14">
        <f t="shared" si="6"/>
        <v>2025</v>
      </c>
      <c r="R14">
        <f t="shared" si="7"/>
        <v>5</v>
      </c>
      <c r="S14">
        <f t="shared" si="8"/>
        <v>11.744084136722172</v>
      </c>
    </row>
    <row r="15" spans="1:20" x14ac:dyDescent="0.3">
      <c r="A15" t="s">
        <v>23</v>
      </c>
      <c r="B15" s="2">
        <v>45672</v>
      </c>
      <c r="C15" t="s">
        <v>513</v>
      </c>
      <c r="D15" t="s">
        <v>515</v>
      </c>
      <c r="E15">
        <v>6081.07</v>
      </c>
      <c r="F15">
        <v>5087.49</v>
      </c>
      <c r="G15">
        <v>126413</v>
      </c>
      <c r="H15">
        <v>3059</v>
      </c>
      <c r="I15">
        <v>58</v>
      </c>
      <c r="J15">
        <v>2021.61</v>
      </c>
      <c r="K15">
        <f t="shared" si="1"/>
        <v>2.4198460601362202</v>
      </c>
      <c r="L15">
        <f t="shared" si="2"/>
        <v>1.6631219352729649</v>
      </c>
      <c r="M15">
        <f t="shared" si="0"/>
        <v>87.715344827586208</v>
      </c>
      <c r="N15">
        <f t="shared" si="3"/>
        <v>0.39736884003703199</v>
      </c>
      <c r="O15">
        <f t="shared" si="4"/>
        <v>-3065.88</v>
      </c>
      <c r="P15">
        <f t="shared" si="5"/>
        <v>-508749</v>
      </c>
      <c r="Q15">
        <f t="shared" si="6"/>
        <v>2025</v>
      </c>
      <c r="R15">
        <f t="shared" si="7"/>
        <v>1</v>
      </c>
      <c r="S15">
        <f t="shared" si="8"/>
        <v>1.8960444589735208</v>
      </c>
    </row>
    <row r="16" spans="1:20" x14ac:dyDescent="0.3">
      <c r="A16" t="s">
        <v>24</v>
      </c>
      <c r="B16" s="2">
        <v>45646</v>
      </c>
      <c r="C16" t="s">
        <v>510</v>
      </c>
      <c r="D16" t="s">
        <v>515</v>
      </c>
      <c r="E16">
        <v>3240.72</v>
      </c>
      <c r="F16">
        <v>3476.63</v>
      </c>
      <c r="G16">
        <v>76429</v>
      </c>
      <c r="H16">
        <v>2090</v>
      </c>
      <c r="I16">
        <v>69</v>
      </c>
      <c r="J16">
        <v>1915.67</v>
      </c>
      <c r="K16">
        <f t="shared" si="1"/>
        <v>2.7345641052480079</v>
      </c>
      <c r="L16">
        <f t="shared" si="2"/>
        <v>1.6634593301435407</v>
      </c>
      <c r="M16">
        <f t="shared" si="0"/>
        <v>50.385942028985511</v>
      </c>
      <c r="N16">
        <f t="shared" si="3"/>
        <v>0.55101348144611306</v>
      </c>
      <c r="O16">
        <f t="shared" si="4"/>
        <v>-1560.96</v>
      </c>
      <c r="P16">
        <f t="shared" si="5"/>
        <v>-347663</v>
      </c>
      <c r="Q16">
        <f t="shared" si="6"/>
        <v>2024</v>
      </c>
      <c r="R16">
        <f t="shared" si="7"/>
        <v>12</v>
      </c>
      <c r="S16">
        <f t="shared" si="8"/>
        <v>3.3014354066985647</v>
      </c>
    </row>
    <row r="17" spans="1:19" x14ac:dyDescent="0.3">
      <c r="A17" t="s">
        <v>25</v>
      </c>
      <c r="B17" s="2">
        <v>45691</v>
      </c>
      <c r="C17" t="s">
        <v>510</v>
      </c>
      <c r="D17" t="s">
        <v>518</v>
      </c>
      <c r="E17">
        <v>7637.66</v>
      </c>
      <c r="F17">
        <v>6824.35</v>
      </c>
      <c r="G17">
        <v>59367</v>
      </c>
      <c r="H17">
        <v>1348</v>
      </c>
      <c r="I17">
        <v>152</v>
      </c>
      <c r="J17">
        <v>5411.51</v>
      </c>
      <c r="K17">
        <f t="shared" si="1"/>
        <v>2.2706217258746442</v>
      </c>
      <c r="L17">
        <f t="shared" si="2"/>
        <v>5.0625741839762615</v>
      </c>
      <c r="M17">
        <f t="shared" si="0"/>
        <v>44.89703947368421</v>
      </c>
      <c r="N17">
        <f t="shared" si="3"/>
        <v>0.79297075911991621</v>
      </c>
      <c r="O17">
        <f t="shared" si="4"/>
        <v>-1412.8400000000001</v>
      </c>
      <c r="P17">
        <f t="shared" si="5"/>
        <v>-682435</v>
      </c>
      <c r="Q17">
        <f t="shared" si="6"/>
        <v>2025</v>
      </c>
      <c r="R17">
        <f t="shared" si="7"/>
        <v>2</v>
      </c>
      <c r="S17">
        <f t="shared" si="8"/>
        <v>11.275964391691394</v>
      </c>
    </row>
    <row r="18" spans="1:19" x14ac:dyDescent="0.3">
      <c r="A18" t="s">
        <v>26</v>
      </c>
      <c r="B18" s="2">
        <v>45725</v>
      </c>
      <c r="C18" t="s">
        <v>511</v>
      </c>
      <c r="D18" t="s">
        <v>518</v>
      </c>
      <c r="E18">
        <v>6826.97</v>
      </c>
      <c r="F18">
        <v>5840.17</v>
      </c>
      <c r="G18">
        <v>186370</v>
      </c>
      <c r="H18">
        <v>9073</v>
      </c>
      <c r="I18">
        <v>1366</v>
      </c>
      <c r="J18">
        <v>67053.58</v>
      </c>
      <c r="K18">
        <f t="shared" si="1"/>
        <v>4.8682727906851966</v>
      </c>
      <c r="L18">
        <f t="shared" si="2"/>
        <v>0.64368676292295823</v>
      </c>
      <c r="M18">
        <f t="shared" si="0"/>
        <v>4.2753806734992681</v>
      </c>
      <c r="N18">
        <f t="shared" si="3"/>
        <v>11.481443177167789</v>
      </c>
      <c r="O18">
        <f t="shared" si="4"/>
        <v>61213.41</v>
      </c>
      <c r="P18">
        <f t="shared" si="5"/>
        <v>-584016.99999999977</v>
      </c>
      <c r="Q18">
        <f t="shared" si="6"/>
        <v>2025</v>
      </c>
      <c r="R18">
        <f t="shared" si="7"/>
        <v>3</v>
      </c>
      <c r="S18">
        <f t="shared" si="8"/>
        <v>15.055659649509535</v>
      </c>
    </row>
    <row r="19" spans="1:19" x14ac:dyDescent="0.3">
      <c r="A19" t="s">
        <v>27</v>
      </c>
      <c r="B19" s="2">
        <v>45791</v>
      </c>
      <c r="C19" t="s">
        <v>514</v>
      </c>
      <c r="D19" t="s">
        <v>518</v>
      </c>
      <c r="E19">
        <v>8425.93</v>
      </c>
      <c r="F19">
        <v>9115.59</v>
      </c>
      <c r="G19">
        <v>177209</v>
      </c>
      <c r="H19">
        <v>2628</v>
      </c>
      <c r="I19">
        <v>342</v>
      </c>
      <c r="J19">
        <v>16020.93</v>
      </c>
      <c r="K19">
        <f t="shared" si="1"/>
        <v>1.4829946560276284</v>
      </c>
      <c r="L19">
        <f t="shared" si="2"/>
        <v>3.4686415525114156</v>
      </c>
      <c r="M19">
        <f t="shared" si="0"/>
        <v>26.653771929824561</v>
      </c>
      <c r="N19">
        <f t="shared" si="3"/>
        <v>1.7575307796862298</v>
      </c>
      <c r="O19">
        <f t="shared" si="4"/>
        <v>6905.34</v>
      </c>
      <c r="P19">
        <f t="shared" si="5"/>
        <v>-911559</v>
      </c>
      <c r="Q19">
        <f t="shared" si="6"/>
        <v>2025</v>
      </c>
      <c r="R19">
        <f t="shared" si="7"/>
        <v>5</v>
      </c>
      <c r="S19">
        <f t="shared" si="8"/>
        <v>13.013698630136986</v>
      </c>
    </row>
    <row r="20" spans="1:19" x14ac:dyDescent="0.3">
      <c r="A20" t="s">
        <v>28</v>
      </c>
      <c r="B20" s="2">
        <v>45803</v>
      </c>
      <c r="C20" t="s">
        <v>510</v>
      </c>
      <c r="D20" t="s">
        <v>516</v>
      </c>
      <c r="E20">
        <v>7185.3</v>
      </c>
      <c r="F20">
        <v>7735.42</v>
      </c>
      <c r="G20">
        <v>113245</v>
      </c>
      <c r="H20">
        <v>4048</v>
      </c>
      <c r="I20">
        <v>620</v>
      </c>
      <c r="J20">
        <v>14045.96</v>
      </c>
      <c r="K20">
        <f t="shared" si="1"/>
        <v>3.5745507527926179</v>
      </c>
      <c r="L20">
        <f t="shared" si="2"/>
        <v>1.9109239130434783</v>
      </c>
      <c r="M20">
        <f t="shared" si="0"/>
        <v>12.476483870967742</v>
      </c>
      <c r="N20">
        <f t="shared" si="3"/>
        <v>1.8157979786488645</v>
      </c>
      <c r="O20">
        <f t="shared" si="4"/>
        <v>6310.5399999999991</v>
      </c>
      <c r="P20">
        <f t="shared" si="5"/>
        <v>-773542</v>
      </c>
      <c r="Q20">
        <f t="shared" si="6"/>
        <v>2025</v>
      </c>
      <c r="R20">
        <f t="shared" si="7"/>
        <v>5</v>
      </c>
      <c r="S20">
        <f t="shared" si="8"/>
        <v>15.316205533596838</v>
      </c>
    </row>
    <row r="21" spans="1:19" x14ac:dyDescent="0.3">
      <c r="A21" t="s">
        <v>29</v>
      </c>
      <c r="B21" s="2">
        <v>45669</v>
      </c>
      <c r="C21" t="s">
        <v>510</v>
      </c>
      <c r="D21" t="s">
        <v>517</v>
      </c>
      <c r="E21">
        <v>4371.88</v>
      </c>
      <c r="F21">
        <v>3556.82</v>
      </c>
      <c r="G21">
        <v>134800</v>
      </c>
      <c r="H21">
        <v>4917</v>
      </c>
      <c r="I21">
        <v>128</v>
      </c>
      <c r="J21">
        <v>3809.27</v>
      </c>
      <c r="K21">
        <f t="shared" si="1"/>
        <v>3.6476261127596437</v>
      </c>
      <c r="L21">
        <f t="shared" si="2"/>
        <v>0.72337197478137083</v>
      </c>
      <c r="M21">
        <f t="shared" si="0"/>
        <v>27.787656250000001</v>
      </c>
      <c r="N21">
        <f t="shared" si="3"/>
        <v>1.0709763215456503</v>
      </c>
      <c r="O21">
        <f t="shared" si="4"/>
        <v>252.44999999999982</v>
      </c>
      <c r="P21">
        <f t="shared" si="5"/>
        <v>-355682</v>
      </c>
      <c r="Q21">
        <f t="shared" si="6"/>
        <v>2025</v>
      </c>
      <c r="R21">
        <f t="shared" si="7"/>
        <v>1</v>
      </c>
      <c r="S21">
        <f t="shared" si="8"/>
        <v>2.6032133414683751</v>
      </c>
    </row>
    <row r="22" spans="1:19" x14ac:dyDescent="0.3">
      <c r="A22" t="s">
        <v>30</v>
      </c>
      <c r="B22" s="2">
        <v>45814</v>
      </c>
      <c r="C22" t="s">
        <v>510</v>
      </c>
      <c r="D22" t="s">
        <v>515</v>
      </c>
      <c r="E22">
        <v>5720.74</v>
      </c>
      <c r="F22">
        <v>5042.29</v>
      </c>
      <c r="G22">
        <v>128160</v>
      </c>
      <c r="H22">
        <v>1491</v>
      </c>
      <c r="I22">
        <v>279</v>
      </c>
      <c r="J22">
        <v>12516.53</v>
      </c>
      <c r="K22">
        <f t="shared" si="1"/>
        <v>1.1633895131086143</v>
      </c>
      <c r="L22">
        <f t="shared" si="2"/>
        <v>3.381817572099262</v>
      </c>
      <c r="M22">
        <f t="shared" si="0"/>
        <v>18.072724014336917</v>
      </c>
      <c r="N22">
        <f t="shared" si="3"/>
        <v>2.4823106168030797</v>
      </c>
      <c r="O22">
        <f t="shared" si="4"/>
        <v>7474.2400000000007</v>
      </c>
      <c r="P22">
        <f t="shared" si="5"/>
        <v>-504229</v>
      </c>
      <c r="Q22">
        <f t="shared" si="6"/>
        <v>2025</v>
      </c>
      <c r="R22">
        <f t="shared" si="7"/>
        <v>6</v>
      </c>
      <c r="S22">
        <f t="shared" si="8"/>
        <v>18.712273641851105</v>
      </c>
    </row>
    <row r="23" spans="1:19" x14ac:dyDescent="0.3">
      <c r="A23" t="s">
        <v>31</v>
      </c>
      <c r="B23" s="2">
        <v>45784</v>
      </c>
      <c r="C23" t="s">
        <v>514</v>
      </c>
      <c r="D23" t="s">
        <v>518</v>
      </c>
      <c r="E23">
        <v>5497.27</v>
      </c>
      <c r="F23">
        <v>4861.13</v>
      </c>
      <c r="G23">
        <v>156949</v>
      </c>
      <c r="H23">
        <v>1762</v>
      </c>
      <c r="I23">
        <v>304</v>
      </c>
      <c r="J23">
        <v>11029.39</v>
      </c>
      <c r="K23">
        <f t="shared" si="1"/>
        <v>1.1226576786089748</v>
      </c>
      <c r="L23">
        <f t="shared" si="2"/>
        <v>2.7588706015891034</v>
      </c>
      <c r="M23">
        <f t="shared" si="0"/>
        <v>15.990559210526316</v>
      </c>
      <c r="N23">
        <f t="shared" si="3"/>
        <v>2.2688942694394099</v>
      </c>
      <c r="O23">
        <f t="shared" si="4"/>
        <v>6168.2599999999993</v>
      </c>
      <c r="P23">
        <f t="shared" si="5"/>
        <v>-486113</v>
      </c>
      <c r="Q23">
        <f t="shared" si="6"/>
        <v>2025</v>
      </c>
      <c r="R23">
        <f t="shared" si="7"/>
        <v>5</v>
      </c>
      <c r="S23">
        <f t="shared" si="8"/>
        <v>17.253121452894437</v>
      </c>
    </row>
    <row r="24" spans="1:19" x14ac:dyDescent="0.3">
      <c r="A24" t="s">
        <v>32</v>
      </c>
      <c r="B24" s="2">
        <v>45810</v>
      </c>
      <c r="C24" t="s">
        <v>511</v>
      </c>
      <c r="D24" t="s">
        <v>518</v>
      </c>
      <c r="E24">
        <v>3986.47</v>
      </c>
      <c r="F24">
        <v>4148.5600000000004</v>
      </c>
      <c r="G24">
        <v>138676</v>
      </c>
      <c r="H24">
        <v>4683</v>
      </c>
      <c r="I24">
        <v>91</v>
      </c>
      <c r="J24">
        <v>2023.52</v>
      </c>
      <c r="K24">
        <f t="shared" si="1"/>
        <v>3.3769361677579393</v>
      </c>
      <c r="L24">
        <f t="shared" si="2"/>
        <v>0.88587657484518478</v>
      </c>
      <c r="M24">
        <f t="shared" si="0"/>
        <v>45.588571428571434</v>
      </c>
      <c r="N24">
        <f t="shared" si="3"/>
        <v>0.48776442910311041</v>
      </c>
      <c r="O24">
        <f t="shared" si="4"/>
        <v>-2125.0400000000004</v>
      </c>
      <c r="P24">
        <f t="shared" si="5"/>
        <v>-414856.00000000006</v>
      </c>
      <c r="Q24">
        <f t="shared" si="6"/>
        <v>2025</v>
      </c>
      <c r="R24">
        <f t="shared" si="7"/>
        <v>6</v>
      </c>
      <c r="S24">
        <f t="shared" si="8"/>
        <v>1.9431988041853512</v>
      </c>
    </row>
    <row r="25" spans="1:19" x14ac:dyDescent="0.3">
      <c r="A25" t="s">
        <v>33</v>
      </c>
      <c r="B25" s="2">
        <v>45766</v>
      </c>
      <c r="C25" t="s">
        <v>514</v>
      </c>
      <c r="D25" t="s">
        <v>516</v>
      </c>
      <c r="E25">
        <v>9908.2099999999991</v>
      </c>
      <c r="F25">
        <v>10222.040000000001</v>
      </c>
      <c r="G25">
        <v>133918</v>
      </c>
      <c r="H25">
        <v>4771</v>
      </c>
      <c r="I25">
        <v>266</v>
      </c>
      <c r="J25">
        <v>6905.75</v>
      </c>
      <c r="K25">
        <f t="shared" si="1"/>
        <v>3.5626278767604056</v>
      </c>
      <c r="L25">
        <f t="shared" si="2"/>
        <v>2.1425361559421505</v>
      </c>
      <c r="M25">
        <f t="shared" si="0"/>
        <v>38.428721804511284</v>
      </c>
      <c r="N25">
        <f t="shared" si="3"/>
        <v>0.67557454285054641</v>
      </c>
      <c r="O25">
        <f t="shared" si="4"/>
        <v>-3316.2900000000009</v>
      </c>
      <c r="P25">
        <f t="shared" si="5"/>
        <v>-1022204.0000000001</v>
      </c>
      <c r="Q25">
        <f t="shared" si="6"/>
        <v>2025</v>
      </c>
      <c r="R25">
        <f t="shared" si="7"/>
        <v>4</v>
      </c>
      <c r="S25">
        <f t="shared" si="8"/>
        <v>5.5753510794382732</v>
      </c>
    </row>
    <row r="26" spans="1:19" x14ac:dyDescent="0.3">
      <c r="A26" t="s">
        <v>34</v>
      </c>
      <c r="B26" s="2">
        <v>45703</v>
      </c>
      <c r="C26" t="s">
        <v>512</v>
      </c>
      <c r="D26" t="s">
        <v>515</v>
      </c>
      <c r="E26">
        <v>3038.65</v>
      </c>
      <c r="F26">
        <v>3174.29</v>
      </c>
      <c r="G26">
        <v>116892</v>
      </c>
      <c r="H26">
        <v>1613</v>
      </c>
      <c r="I26">
        <v>73</v>
      </c>
      <c r="J26">
        <v>3008.02</v>
      </c>
      <c r="K26">
        <f t="shared" si="1"/>
        <v>1.3799062382370051</v>
      </c>
      <c r="L26">
        <f t="shared" si="2"/>
        <v>1.9679417234965901</v>
      </c>
      <c r="M26">
        <f t="shared" si="0"/>
        <v>43.483424657534243</v>
      </c>
      <c r="N26">
        <f t="shared" si="3"/>
        <v>0.94761978269156255</v>
      </c>
      <c r="O26">
        <f t="shared" si="4"/>
        <v>-166.26999999999998</v>
      </c>
      <c r="P26">
        <f t="shared" si="5"/>
        <v>-317429</v>
      </c>
      <c r="Q26">
        <f t="shared" si="6"/>
        <v>2025</v>
      </c>
      <c r="R26">
        <f t="shared" si="7"/>
        <v>2</v>
      </c>
      <c r="S26">
        <f t="shared" si="8"/>
        <v>4.5257284562926223</v>
      </c>
    </row>
    <row r="27" spans="1:19" x14ac:dyDescent="0.3">
      <c r="A27" t="s">
        <v>35</v>
      </c>
      <c r="B27" s="2">
        <v>45753</v>
      </c>
      <c r="C27" t="s">
        <v>511</v>
      </c>
      <c r="D27" t="s">
        <v>518</v>
      </c>
      <c r="E27">
        <v>8103.05</v>
      </c>
      <c r="F27">
        <v>8357.33</v>
      </c>
      <c r="G27">
        <v>187598</v>
      </c>
      <c r="H27">
        <v>7514</v>
      </c>
      <c r="I27">
        <v>1465</v>
      </c>
      <c r="J27">
        <v>32554.26</v>
      </c>
      <c r="K27">
        <f t="shared" si="1"/>
        <v>4.0053731916118513</v>
      </c>
      <c r="L27">
        <f t="shared" si="2"/>
        <v>1.112234495608198</v>
      </c>
      <c r="M27">
        <f t="shared" si="0"/>
        <v>5.7046621160409554</v>
      </c>
      <c r="N27">
        <f t="shared" si="3"/>
        <v>3.8952943105034739</v>
      </c>
      <c r="O27">
        <f t="shared" si="4"/>
        <v>24196.93</v>
      </c>
      <c r="P27">
        <f t="shared" si="5"/>
        <v>-835732.99999999977</v>
      </c>
      <c r="Q27">
        <f t="shared" si="6"/>
        <v>2025</v>
      </c>
      <c r="R27">
        <f t="shared" si="7"/>
        <v>4</v>
      </c>
      <c r="S27">
        <f t="shared" si="8"/>
        <v>19.496939047112058</v>
      </c>
    </row>
    <row r="28" spans="1:19" x14ac:dyDescent="0.3">
      <c r="A28" t="s">
        <v>36</v>
      </c>
      <c r="B28" s="2">
        <v>45721</v>
      </c>
      <c r="C28" t="s">
        <v>513</v>
      </c>
      <c r="D28" t="s">
        <v>518</v>
      </c>
      <c r="E28">
        <v>5509.26</v>
      </c>
      <c r="F28">
        <v>4598.91</v>
      </c>
      <c r="G28">
        <v>145792</v>
      </c>
      <c r="H28">
        <v>2973</v>
      </c>
      <c r="I28">
        <v>495</v>
      </c>
      <c r="J28">
        <v>22717.09</v>
      </c>
      <c r="K28">
        <f t="shared" si="1"/>
        <v>2.0392065408252851</v>
      </c>
      <c r="L28">
        <f t="shared" si="2"/>
        <v>1.5468920282542886</v>
      </c>
      <c r="M28">
        <f t="shared" si="0"/>
        <v>9.2907272727272723</v>
      </c>
      <c r="N28">
        <f t="shared" si="3"/>
        <v>4.9396683127088812</v>
      </c>
      <c r="O28">
        <f t="shared" si="4"/>
        <v>18118.18</v>
      </c>
      <c r="P28">
        <f t="shared" si="5"/>
        <v>-459891</v>
      </c>
      <c r="Q28">
        <f t="shared" si="6"/>
        <v>2025</v>
      </c>
      <c r="R28">
        <f t="shared" si="7"/>
        <v>3</v>
      </c>
      <c r="S28">
        <f t="shared" si="8"/>
        <v>16.649848637739655</v>
      </c>
    </row>
    <row r="29" spans="1:19" x14ac:dyDescent="0.3">
      <c r="A29" t="s">
        <v>37</v>
      </c>
      <c r="B29" s="2">
        <v>45809</v>
      </c>
      <c r="C29" t="s">
        <v>511</v>
      </c>
      <c r="D29" t="s">
        <v>515</v>
      </c>
      <c r="E29">
        <v>7363.09</v>
      </c>
      <c r="F29">
        <v>6621.4</v>
      </c>
      <c r="G29">
        <v>144942</v>
      </c>
      <c r="H29">
        <v>5511</v>
      </c>
      <c r="I29">
        <v>222</v>
      </c>
      <c r="J29">
        <v>4863.3</v>
      </c>
      <c r="K29">
        <f t="shared" si="1"/>
        <v>3.8022105393881693</v>
      </c>
      <c r="L29">
        <f t="shared" si="2"/>
        <v>1.2014879332244601</v>
      </c>
      <c r="M29">
        <f t="shared" si="0"/>
        <v>29.826126126126123</v>
      </c>
      <c r="N29">
        <f t="shared" si="3"/>
        <v>0.73448213368773985</v>
      </c>
      <c r="O29">
        <f t="shared" si="4"/>
        <v>-1758.0999999999995</v>
      </c>
      <c r="P29">
        <f t="shared" si="5"/>
        <v>-662140</v>
      </c>
      <c r="Q29">
        <f t="shared" si="6"/>
        <v>2025</v>
      </c>
      <c r="R29">
        <f t="shared" si="7"/>
        <v>6</v>
      </c>
      <c r="S29">
        <f t="shared" si="8"/>
        <v>4.0283070223189981</v>
      </c>
    </row>
    <row r="30" spans="1:19" x14ac:dyDescent="0.3">
      <c r="A30" t="s">
        <v>38</v>
      </c>
      <c r="B30" s="2">
        <v>45809</v>
      </c>
      <c r="C30" t="s">
        <v>513</v>
      </c>
      <c r="D30" t="s">
        <v>518</v>
      </c>
      <c r="E30">
        <v>5176.88</v>
      </c>
      <c r="F30">
        <v>4646.53</v>
      </c>
      <c r="G30">
        <v>81620</v>
      </c>
      <c r="H30">
        <v>3629</v>
      </c>
      <c r="I30">
        <v>513</v>
      </c>
      <c r="J30">
        <v>21488.639999999999</v>
      </c>
      <c r="K30">
        <f t="shared" si="1"/>
        <v>4.4462141631952949</v>
      </c>
      <c r="L30">
        <f t="shared" si="2"/>
        <v>1.2803885367869936</v>
      </c>
      <c r="M30">
        <f t="shared" si="0"/>
        <v>9.0575633528265094</v>
      </c>
      <c r="N30">
        <f t="shared" si="3"/>
        <v>4.624663996573787</v>
      </c>
      <c r="O30">
        <f t="shared" si="4"/>
        <v>16842.11</v>
      </c>
      <c r="P30">
        <f t="shared" si="5"/>
        <v>-464652.99999999988</v>
      </c>
      <c r="Q30">
        <f t="shared" si="6"/>
        <v>2025</v>
      </c>
      <c r="R30">
        <f t="shared" si="7"/>
        <v>6</v>
      </c>
      <c r="S30">
        <f t="shared" si="8"/>
        <v>14.136125654450263</v>
      </c>
    </row>
    <row r="31" spans="1:19" x14ac:dyDescent="0.3">
      <c r="A31" t="s">
        <v>39</v>
      </c>
      <c r="B31" s="2">
        <v>45679</v>
      </c>
      <c r="C31" t="s">
        <v>510</v>
      </c>
      <c r="D31" t="s">
        <v>516</v>
      </c>
      <c r="E31">
        <v>7462.9</v>
      </c>
      <c r="F31">
        <v>7956.67</v>
      </c>
      <c r="G31">
        <v>73683</v>
      </c>
      <c r="H31">
        <v>2259</v>
      </c>
      <c r="I31">
        <v>324</v>
      </c>
      <c r="J31">
        <v>11069.93</v>
      </c>
      <c r="K31">
        <f t="shared" si="1"/>
        <v>3.065836081592769</v>
      </c>
      <c r="L31">
        <f t="shared" si="2"/>
        <v>3.5222089420097387</v>
      </c>
      <c r="M31">
        <f t="shared" si="0"/>
        <v>24.557623456790125</v>
      </c>
      <c r="N31">
        <f t="shared" si="3"/>
        <v>1.3912767527118757</v>
      </c>
      <c r="O31">
        <f t="shared" si="4"/>
        <v>3113.26</v>
      </c>
      <c r="P31">
        <f t="shared" si="5"/>
        <v>-795667</v>
      </c>
      <c r="Q31">
        <f t="shared" si="6"/>
        <v>2025</v>
      </c>
      <c r="R31">
        <f t="shared" si="7"/>
        <v>1</v>
      </c>
      <c r="S31">
        <f t="shared" si="8"/>
        <v>14.342629482071715</v>
      </c>
    </row>
    <row r="32" spans="1:19" x14ac:dyDescent="0.3">
      <c r="A32" t="s">
        <v>40</v>
      </c>
      <c r="B32" s="2">
        <v>45768</v>
      </c>
      <c r="C32" t="s">
        <v>510</v>
      </c>
      <c r="D32" t="s">
        <v>517</v>
      </c>
      <c r="E32">
        <v>3837.16</v>
      </c>
      <c r="F32">
        <v>3890.78</v>
      </c>
      <c r="G32">
        <v>69783</v>
      </c>
      <c r="H32">
        <v>2886</v>
      </c>
      <c r="I32">
        <v>227</v>
      </c>
      <c r="J32">
        <v>9720.9500000000007</v>
      </c>
      <c r="K32">
        <f t="shared" si="1"/>
        <v>4.135677743863118</v>
      </c>
      <c r="L32">
        <f t="shared" si="2"/>
        <v>1.3481566181566182</v>
      </c>
      <c r="M32">
        <f t="shared" si="0"/>
        <v>17.14</v>
      </c>
      <c r="N32">
        <f t="shared" si="3"/>
        <v>2.4984578927618628</v>
      </c>
      <c r="O32">
        <f t="shared" si="4"/>
        <v>5830.17</v>
      </c>
      <c r="P32">
        <f t="shared" si="5"/>
        <v>-389078.00000000006</v>
      </c>
      <c r="Q32">
        <f t="shared" si="6"/>
        <v>2025</v>
      </c>
      <c r="R32">
        <f t="shared" si="7"/>
        <v>4</v>
      </c>
      <c r="S32">
        <f t="shared" si="8"/>
        <v>7.8655578655578653</v>
      </c>
    </row>
    <row r="33" spans="1:19" x14ac:dyDescent="0.3">
      <c r="A33" t="s">
        <v>41</v>
      </c>
      <c r="B33" s="2">
        <v>45802</v>
      </c>
      <c r="C33" t="s">
        <v>513</v>
      </c>
      <c r="D33" t="s">
        <v>516</v>
      </c>
      <c r="E33">
        <v>6928.94</v>
      </c>
      <c r="F33">
        <v>7145.75</v>
      </c>
      <c r="G33">
        <v>154773</v>
      </c>
      <c r="H33">
        <v>2350</v>
      </c>
      <c r="I33">
        <v>389</v>
      </c>
      <c r="J33">
        <v>13542.59</v>
      </c>
      <c r="K33">
        <f t="shared" si="1"/>
        <v>1.5183526842537134</v>
      </c>
      <c r="L33">
        <f t="shared" si="2"/>
        <v>3.0407446808510636</v>
      </c>
      <c r="M33">
        <f t="shared" si="0"/>
        <v>18.369537275064268</v>
      </c>
      <c r="N33">
        <f t="shared" si="3"/>
        <v>1.8951950460063673</v>
      </c>
      <c r="O33">
        <f t="shared" si="4"/>
        <v>6396.84</v>
      </c>
      <c r="P33">
        <f t="shared" si="5"/>
        <v>-714575</v>
      </c>
      <c r="Q33">
        <f t="shared" si="6"/>
        <v>2025</v>
      </c>
      <c r="R33">
        <f t="shared" si="7"/>
        <v>5</v>
      </c>
      <c r="S33">
        <f t="shared" si="8"/>
        <v>16.553191489361701</v>
      </c>
    </row>
    <row r="34" spans="1:19" x14ac:dyDescent="0.3">
      <c r="A34" t="s">
        <v>42</v>
      </c>
      <c r="B34" s="2">
        <v>45711</v>
      </c>
      <c r="C34" t="s">
        <v>514</v>
      </c>
      <c r="D34" t="s">
        <v>515</v>
      </c>
      <c r="E34">
        <v>6659.13</v>
      </c>
      <c r="F34">
        <v>6181.42</v>
      </c>
      <c r="G34">
        <v>69731</v>
      </c>
      <c r="H34">
        <v>2872</v>
      </c>
      <c r="I34">
        <v>455</v>
      </c>
      <c r="J34">
        <v>9446.9699999999993</v>
      </c>
      <c r="K34">
        <f t="shared" si="1"/>
        <v>4.1186846596205413</v>
      </c>
      <c r="L34">
        <f t="shared" si="2"/>
        <v>2.1523050139275766</v>
      </c>
      <c r="M34">
        <f t="shared" si="0"/>
        <v>13.585538461538462</v>
      </c>
      <c r="N34">
        <f t="shared" si="3"/>
        <v>1.5282847630479726</v>
      </c>
      <c r="O34">
        <f t="shared" si="4"/>
        <v>3265.5499999999993</v>
      </c>
      <c r="P34">
        <f t="shared" si="5"/>
        <v>-618142</v>
      </c>
      <c r="Q34">
        <f t="shared" si="6"/>
        <v>2025</v>
      </c>
      <c r="R34">
        <f t="shared" si="7"/>
        <v>2</v>
      </c>
      <c r="S34">
        <f t="shared" si="8"/>
        <v>15.842618384401113</v>
      </c>
    </row>
    <row r="35" spans="1:19" x14ac:dyDescent="0.3">
      <c r="A35" t="s">
        <v>43</v>
      </c>
      <c r="B35" s="2">
        <v>45690</v>
      </c>
      <c r="C35" t="s">
        <v>513</v>
      </c>
      <c r="D35" t="s">
        <v>516</v>
      </c>
      <c r="E35">
        <v>3755.24</v>
      </c>
      <c r="F35">
        <v>3039.6</v>
      </c>
      <c r="G35">
        <v>188839</v>
      </c>
      <c r="H35">
        <v>7836</v>
      </c>
      <c r="I35">
        <v>1477</v>
      </c>
      <c r="J35">
        <v>57739.35</v>
      </c>
      <c r="K35">
        <f t="shared" si="1"/>
        <v>4.1495665619919615</v>
      </c>
      <c r="L35">
        <f t="shared" si="2"/>
        <v>0.38790199081163856</v>
      </c>
      <c r="M35">
        <f t="shared" si="0"/>
        <v>2.0579553148273528</v>
      </c>
      <c r="N35">
        <f t="shared" si="3"/>
        <v>18.995706671930517</v>
      </c>
      <c r="O35">
        <f t="shared" si="4"/>
        <v>54699.75</v>
      </c>
      <c r="P35">
        <f t="shared" si="5"/>
        <v>-303959.99999999988</v>
      </c>
      <c r="Q35">
        <f t="shared" si="6"/>
        <v>2025</v>
      </c>
      <c r="R35">
        <f t="shared" si="7"/>
        <v>2</v>
      </c>
      <c r="S35">
        <f t="shared" si="8"/>
        <v>18.848902501276161</v>
      </c>
    </row>
    <row r="36" spans="1:19" x14ac:dyDescent="0.3">
      <c r="A36" t="s">
        <v>44</v>
      </c>
      <c r="B36" s="2">
        <v>45653</v>
      </c>
      <c r="C36" t="s">
        <v>512</v>
      </c>
      <c r="D36" t="s">
        <v>517</v>
      </c>
      <c r="E36">
        <v>5200.49</v>
      </c>
      <c r="F36">
        <v>4953.84</v>
      </c>
      <c r="G36">
        <v>146830</v>
      </c>
      <c r="H36">
        <v>6778</v>
      </c>
      <c r="I36">
        <v>787</v>
      </c>
      <c r="J36">
        <v>37167.64</v>
      </c>
      <c r="K36">
        <f t="shared" si="1"/>
        <v>4.6162228427433085</v>
      </c>
      <c r="L36">
        <f t="shared" si="2"/>
        <v>0.73087046326349958</v>
      </c>
      <c r="M36">
        <f t="shared" si="0"/>
        <v>6.2945870393900893</v>
      </c>
      <c r="N36">
        <f t="shared" si="3"/>
        <v>7.5027937922904249</v>
      </c>
      <c r="O36">
        <f t="shared" si="4"/>
        <v>32213.8</v>
      </c>
      <c r="P36">
        <f t="shared" si="5"/>
        <v>-495384</v>
      </c>
      <c r="Q36">
        <f t="shared" si="6"/>
        <v>2024</v>
      </c>
      <c r="R36">
        <f t="shared" si="7"/>
        <v>12</v>
      </c>
      <c r="S36">
        <f t="shared" si="8"/>
        <v>11.611094718205962</v>
      </c>
    </row>
    <row r="37" spans="1:19" x14ac:dyDescent="0.3">
      <c r="A37" t="s">
        <v>45</v>
      </c>
      <c r="B37" s="2">
        <v>45755</v>
      </c>
      <c r="C37" t="s">
        <v>514</v>
      </c>
      <c r="D37" t="s">
        <v>515</v>
      </c>
      <c r="E37">
        <v>4745.05</v>
      </c>
      <c r="F37">
        <v>4380.2299999999996</v>
      </c>
      <c r="G37">
        <v>114426</v>
      </c>
      <c r="H37">
        <v>4726</v>
      </c>
      <c r="I37">
        <v>77</v>
      </c>
      <c r="J37">
        <v>3285.32</v>
      </c>
      <c r="K37">
        <f t="shared" si="1"/>
        <v>4.1301802037998359</v>
      </c>
      <c r="L37">
        <f t="shared" si="2"/>
        <v>0.92683664832839596</v>
      </c>
      <c r="M37">
        <f t="shared" si="0"/>
        <v>56.88610389610389</v>
      </c>
      <c r="N37">
        <f t="shared" si="3"/>
        <v>0.75003367403081589</v>
      </c>
      <c r="O37">
        <f t="shared" si="4"/>
        <v>-1094.9099999999994</v>
      </c>
      <c r="P37">
        <f t="shared" si="5"/>
        <v>-438022.99999999994</v>
      </c>
      <c r="Q37">
        <f t="shared" si="6"/>
        <v>2025</v>
      </c>
      <c r="R37">
        <f t="shared" si="7"/>
        <v>4</v>
      </c>
      <c r="S37">
        <f t="shared" si="8"/>
        <v>1.629284807448159</v>
      </c>
    </row>
    <row r="38" spans="1:19" x14ac:dyDescent="0.3">
      <c r="A38" t="s">
        <v>46</v>
      </c>
      <c r="B38" s="2">
        <v>45701</v>
      </c>
      <c r="C38" t="s">
        <v>511</v>
      </c>
      <c r="D38" t="s">
        <v>517</v>
      </c>
      <c r="E38">
        <v>4601.59</v>
      </c>
      <c r="F38">
        <v>3787.54</v>
      </c>
      <c r="G38">
        <v>78896</v>
      </c>
      <c r="H38">
        <v>1812</v>
      </c>
      <c r="I38">
        <v>219</v>
      </c>
      <c r="J38">
        <v>6283.67</v>
      </c>
      <c r="K38">
        <f t="shared" si="1"/>
        <v>2.2966943824781993</v>
      </c>
      <c r="L38">
        <f t="shared" si="2"/>
        <v>2.0902538631346577</v>
      </c>
      <c r="M38">
        <f t="shared" si="0"/>
        <v>17.294703196347033</v>
      </c>
      <c r="N38">
        <f t="shared" si="3"/>
        <v>1.6590372642929183</v>
      </c>
      <c r="O38">
        <f t="shared" si="4"/>
        <v>2496.13</v>
      </c>
      <c r="P38">
        <f t="shared" si="5"/>
        <v>-378754</v>
      </c>
      <c r="Q38">
        <f t="shared" si="6"/>
        <v>2025</v>
      </c>
      <c r="R38">
        <f t="shared" si="7"/>
        <v>2</v>
      </c>
      <c r="S38">
        <f t="shared" si="8"/>
        <v>12.086092715231789</v>
      </c>
    </row>
    <row r="39" spans="1:19" x14ac:dyDescent="0.3">
      <c r="A39" t="s">
        <v>47</v>
      </c>
      <c r="B39" s="2">
        <v>45759</v>
      </c>
      <c r="C39" t="s">
        <v>512</v>
      </c>
      <c r="D39" t="s">
        <v>518</v>
      </c>
      <c r="E39">
        <v>4128.55</v>
      </c>
      <c r="F39">
        <v>4454.33</v>
      </c>
      <c r="G39">
        <v>114833</v>
      </c>
      <c r="H39">
        <v>5099</v>
      </c>
      <c r="I39">
        <v>70</v>
      </c>
      <c r="J39">
        <v>3097.05</v>
      </c>
      <c r="K39">
        <f t="shared" si="1"/>
        <v>4.4403612202067348</v>
      </c>
      <c r="L39">
        <f t="shared" si="2"/>
        <v>0.87356932731908221</v>
      </c>
      <c r="M39">
        <f t="shared" si="0"/>
        <v>63.633285714285712</v>
      </c>
      <c r="N39">
        <f t="shared" si="3"/>
        <v>0.69528975176962649</v>
      </c>
      <c r="O39">
        <f t="shared" si="4"/>
        <v>-1357.2799999999997</v>
      </c>
      <c r="P39">
        <f t="shared" si="5"/>
        <v>-445433</v>
      </c>
      <c r="Q39">
        <f t="shared" si="6"/>
        <v>2025</v>
      </c>
      <c r="R39">
        <f t="shared" si="7"/>
        <v>4</v>
      </c>
      <c r="S39">
        <f t="shared" si="8"/>
        <v>1.3728181996469895</v>
      </c>
    </row>
    <row r="40" spans="1:19" x14ac:dyDescent="0.3">
      <c r="A40" t="s">
        <v>48</v>
      </c>
      <c r="B40" s="2">
        <v>45722</v>
      </c>
      <c r="C40" t="s">
        <v>511</v>
      </c>
      <c r="D40" t="s">
        <v>517</v>
      </c>
      <c r="E40">
        <v>7433.83</v>
      </c>
      <c r="F40">
        <v>7890.55</v>
      </c>
      <c r="G40">
        <v>86560</v>
      </c>
      <c r="H40">
        <v>3682</v>
      </c>
      <c r="I40">
        <v>609</v>
      </c>
      <c r="J40">
        <v>26863.09</v>
      </c>
      <c r="K40">
        <f t="shared" si="1"/>
        <v>4.2536968576709802</v>
      </c>
      <c r="L40">
        <f t="shared" si="2"/>
        <v>2.1430065181966325</v>
      </c>
      <c r="M40">
        <f t="shared" si="0"/>
        <v>12.95656814449918</v>
      </c>
      <c r="N40">
        <f t="shared" si="3"/>
        <v>3.4044635671784604</v>
      </c>
      <c r="O40">
        <f t="shared" si="4"/>
        <v>18972.54</v>
      </c>
      <c r="P40">
        <f t="shared" si="5"/>
        <v>-789054.99999999988</v>
      </c>
      <c r="Q40">
        <f t="shared" si="6"/>
        <v>2025</v>
      </c>
      <c r="R40">
        <f t="shared" si="7"/>
        <v>3</v>
      </c>
      <c r="S40">
        <f t="shared" si="8"/>
        <v>16.539923954372622</v>
      </c>
    </row>
    <row r="41" spans="1:19" x14ac:dyDescent="0.3">
      <c r="A41" t="s">
        <v>49</v>
      </c>
      <c r="B41" s="2">
        <v>45748</v>
      </c>
      <c r="C41" t="s">
        <v>512</v>
      </c>
      <c r="D41" t="s">
        <v>517</v>
      </c>
      <c r="E41">
        <v>4305.99</v>
      </c>
      <c r="F41">
        <v>4597.8</v>
      </c>
      <c r="G41">
        <v>74753</v>
      </c>
      <c r="H41">
        <v>1230</v>
      </c>
      <c r="I41">
        <v>234</v>
      </c>
      <c r="J41">
        <v>8466.18</v>
      </c>
      <c r="K41">
        <f t="shared" si="1"/>
        <v>1.6454189129533263</v>
      </c>
      <c r="L41">
        <f t="shared" si="2"/>
        <v>3.7380487804878051</v>
      </c>
      <c r="M41">
        <f t="shared" si="0"/>
        <v>19.648717948717948</v>
      </c>
      <c r="N41">
        <f t="shared" si="3"/>
        <v>1.841354560876941</v>
      </c>
      <c r="O41">
        <f t="shared" si="4"/>
        <v>3868.38</v>
      </c>
      <c r="P41">
        <f t="shared" si="5"/>
        <v>-459780</v>
      </c>
      <c r="Q41">
        <f t="shared" si="6"/>
        <v>2025</v>
      </c>
      <c r="R41">
        <f t="shared" si="7"/>
        <v>4</v>
      </c>
      <c r="S41">
        <f t="shared" si="8"/>
        <v>19.024390243902438</v>
      </c>
    </row>
    <row r="42" spans="1:19" x14ac:dyDescent="0.3">
      <c r="A42" t="s">
        <v>50</v>
      </c>
      <c r="B42" s="2">
        <v>45701</v>
      </c>
      <c r="C42" t="s">
        <v>514</v>
      </c>
      <c r="D42" t="s">
        <v>518</v>
      </c>
      <c r="E42">
        <v>8652.08</v>
      </c>
      <c r="F42">
        <v>9247.58</v>
      </c>
      <c r="G42">
        <v>177534</v>
      </c>
      <c r="H42">
        <v>2754</v>
      </c>
      <c r="I42">
        <v>206</v>
      </c>
      <c r="J42">
        <v>6085.26</v>
      </c>
      <c r="K42">
        <f t="shared" si="1"/>
        <v>1.5512521545168811</v>
      </c>
      <c r="L42">
        <f t="shared" si="2"/>
        <v>3.3578721859114014</v>
      </c>
      <c r="M42">
        <f t="shared" si="0"/>
        <v>44.891165048543691</v>
      </c>
      <c r="N42">
        <f t="shared" si="3"/>
        <v>0.65803810294152631</v>
      </c>
      <c r="O42">
        <f t="shared" si="4"/>
        <v>-3162.3199999999997</v>
      </c>
      <c r="P42">
        <f t="shared" si="5"/>
        <v>-924758</v>
      </c>
      <c r="Q42">
        <f t="shared" si="6"/>
        <v>2025</v>
      </c>
      <c r="R42">
        <f t="shared" si="7"/>
        <v>2</v>
      </c>
      <c r="S42">
        <f t="shared" si="8"/>
        <v>7.4800290486565002</v>
      </c>
    </row>
    <row r="43" spans="1:19" x14ac:dyDescent="0.3">
      <c r="A43" t="s">
        <v>51</v>
      </c>
      <c r="B43" s="2">
        <v>45671</v>
      </c>
      <c r="C43" t="s">
        <v>512</v>
      </c>
      <c r="D43" t="s">
        <v>517</v>
      </c>
      <c r="E43">
        <v>3770.36</v>
      </c>
      <c r="F43">
        <v>3274.11</v>
      </c>
      <c r="G43">
        <v>179996</v>
      </c>
      <c r="H43">
        <v>8814</v>
      </c>
      <c r="I43">
        <v>1350</v>
      </c>
      <c r="J43">
        <v>44297.87</v>
      </c>
      <c r="K43">
        <f t="shared" si="1"/>
        <v>4.896775483899642</v>
      </c>
      <c r="L43">
        <f t="shared" si="2"/>
        <v>0.37146698434309056</v>
      </c>
      <c r="M43">
        <f t="shared" si="0"/>
        <v>2.4252666666666669</v>
      </c>
      <c r="N43">
        <f t="shared" si="3"/>
        <v>13.529743960954274</v>
      </c>
      <c r="O43">
        <f t="shared" si="4"/>
        <v>41023.760000000002</v>
      </c>
      <c r="P43">
        <f t="shared" si="5"/>
        <v>-327411.00000000006</v>
      </c>
      <c r="Q43">
        <f t="shared" si="6"/>
        <v>2025</v>
      </c>
      <c r="R43">
        <f t="shared" si="7"/>
        <v>1</v>
      </c>
      <c r="S43">
        <f t="shared" si="8"/>
        <v>15.316541865214431</v>
      </c>
    </row>
    <row r="44" spans="1:19" x14ac:dyDescent="0.3">
      <c r="A44" t="s">
        <v>52</v>
      </c>
      <c r="B44" s="2">
        <v>45642</v>
      </c>
      <c r="C44" t="s">
        <v>512</v>
      </c>
      <c r="D44" t="s">
        <v>515</v>
      </c>
      <c r="E44">
        <v>8726.1</v>
      </c>
      <c r="F44">
        <v>9234.1299999999992</v>
      </c>
      <c r="G44">
        <v>169629</v>
      </c>
      <c r="H44">
        <v>5933</v>
      </c>
      <c r="I44">
        <v>149</v>
      </c>
      <c r="J44">
        <v>3011.08</v>
      </c>
      <c r="K44">
        <f t="shared" si="1"/>
        <v>3.4976330698170717</v>
      </c>
      <c r="L44">
        <f t="shared" si="2"/>
        <v>1.5564014832293949</v>
      </c>
      <c r="M44">
        <f t="shared" si="0"/>
        <v>61.974026845637582</v>
      </c>
      <c r="N44">
        <f t="shared" si="3"/>
        <v>0.32608161245293277</v>
      </c>
      <c r="O44">
        <f t="shared" si="4"/>
        <v>-6223.0499999999993</v>
      </c>
      <c r="P44">
        <f t="shared" si="5"/>
        <v>-923412.99999999988</v>
      </c>
      <c r="Q44">
        <f t="shared" si="6"/>
        <v>2024</v>
      </c>
      <c r="R44">
        <f t="shared" si="7"/>
        <v>12</v>
      </c>
      <c r="S44">
        <f t="shared" si="8"/>
        <v>2.5113770436541381</v>
      </c>
    </row>
    <row r="45" spans="1:19" x14ac:dyDescent="0.3">
      <c r="A45" t="s">
        <v>53</v>
      </c>
      <c r="B45" s="2">
        <v>45763</v>
      </c>
      <c r="C45" t="s">
        <v>513</v>
      </c>
      <c r="D45" t="s">
        <v>515</v>
      </c>
      <c r="E45">
        <v>6575.23</v>
      </c>
      <c r="F45">
        <v>6083.56</v>
      </c>
      <c r="G45">
        <v>103534</v>
      </c>
      <c r="H45">
        <v>3406</v>
      </c>
      <c r="I45">
        <v>219</v>
      </c>
      <c r="J45">
        <v>5839.25</v>
      </c>
      <c r="K45">
        <f t="shared" si="1"/>
        <v>3.2897405683157221</v>
      </c>
      <c r="L45">
        <f t="shared" si="2"/>
        <v>1.786130358191427</v>
      </c>
      <c r="M45">
        <f t="shared" si="0"/>
        <v>27.77881278538813</v>
      </c>
      <c r="N45">
        <f t="shared" si="3"/>
        <v>0.9598409483920598</v>
      </c>
      <c r="O45">
        <f t="shared" si="4"/>
        <v>-244.3100000000004</v>
      </c>
      <c r="P45">
        <f t="shared" si="5"/>
        <v>-608356</v>
      </c>
      <c r="Q45">
        <f t="shared" si="6"/>
        <v>2025</v>
      </c>
      <c r="R45">
        <f t="shared" si="7"/>
        <v>4</v>
      </c>
      <c r="S45">
        <f t="shared" si="8"/>
        <v>6.4298297122724595</v>
      </c>
    </row>
    <row r="46" spans="1:19" x14ac:dyDescent="0.3">
      <c r="A46" t="s">
        <v>54</v>
      </c>
      <c r="B46" s="2">
        <v>45785</v>
      </c>
      <c r="C46" t="s">
        <v>512</v>
      </c>
      <c r="D46" t="s">
        <v>516</v>
      </c>
      <c r="E46">
        <v>3839.06</v>
      </c>
      <c r="F46">
        <v>3460.09</v>
      </c>
      <c r="G46">
        <v>157185</v>
      </c>
      <c r="H46">
        <v>1409</v>
      </c>
      <c r="I46">
        <v>97</v>
      </c>
      <c r="J46">
        <v>4683.87</v>
      </c>
      <c r="K46">
        <f t="shared" si="1"/>
        <v>0.89639596653624709</v>
      </c>
      <c r="L46">
        <f t="shared" si="2"/>
        <v>2.4557061745919091</v>
      </c>
      <c r="M46">
        <f t="shared" si="0"/>
        <v>35.671030927835055</v>
      </c>
      <c r="N46">
        <f t="shared" si="3"/>
        <v>1.3536844417341745</v>
      </c>
      <c r="O46">
        <f t="shared" si="4"/>
        <v>1223.7799999999997</v>
      </c>
      <c r="P46">
        <f t="shared" si="5"/>
        <v>-346009</v>
      </c>
      <c r="Q46">
        <f t="shared" si="6"/>
        <v>2025</v>
      </c>
      <c r="R46">
        <f t="shared" si="7"/>
        <v>5</v>
      </c>
      <c r="S46">
        <f t="shared" si="8"/>
        <v>6.8843151171043298</v>
      </c>
    </row>
    <row r="47" spans="1:19" x14ac:dyDescent="0.3">
      <c r="A47" t="s">
        <v>55</v>
      </c>
      <c r="B47" s="2">
        <v>45797</v>
      </c>
      <c r="C47" t="s">
        <v>512</v>
      </c>
      <c r="D47" t="s">
        <v>516</v>
      </c>
      <c r="E47">
        <v>5262.42</v>
      </c>
      <c r="F47">
        <v>5028.96</v>
      </c>
      <c r="G47">
        <v>114793</v>
      </c>
      <c r="H47">
        <v>4639</v>
      </c>
      <c r="I47">
        <v>463</v>
      </c>
      <c r="J47">
        <v>19024.93</v>
      </c>
      <c r="K47">
        <f t="shared" si="1"/>
        <v>4.0411871804029866</v>
      </c>
      <c r="L47">
        <f t="shared" si="2"/>
        <v>1.0840612200905368</v>
      </c>
      <c r="M47">
        <f t="shared" si="0"/>
        <v>10.861684665226782</v>
      </c>
      <c r="N47">
        <f t="shared" si="3"/>
        <v>3.7830744328847317</v>
      </c>
      <c r="O47">
        <f t="shared" si="4"/>
        <v>13995.970000000001</v>
      </c>
      <c r="P47">
        <f t="shared" si="5"/>
        <v>-502895.99999999988</v>
      </c>
      <c r="Q47">
        <f t="shared" si="6"/>
        <v>2025</v>
      </c>
      <c r="R47">
        <f t="shared" si="7"/>
        <v>5</v>
      </c>
      <c r="S47">
        <f t="shared" si="8"/>
        <v>9.9805992670834236</v>
      </c>
    </row>
    <row r="48" spans="1:19" x14ac:dyDescent="0.3">
      <c r="A48" t="s">
        <v>56</v>
      </c>
      <c r="B48" s="2">
        <v>45662</v>
      </c>
      <c r="C48" t="s">
        <v>510</v>
      </c>
      <c r="D48" t="s">
        <v>518</v>
      </c>
      <c r="E48">
        <v>5545.41</v>
      </c>
      <c r="F48">
        <v>6053.01</v>
      </c>
      <c r="G48">
        <v>175219</v>
      </c>
      <c r="H48">
        <v>4802</v>
      </c>
      <c r="I48">
        <v>292</v>
      </c>
      <c r="J48">
        <v>14271.04</v>
      </c>
      <c r="K48">
        <f t="shared" si="1"/>
        <v>2.7405703719345502</v>
      </c>
      <c r="L48">
        <f t="shared" si="2"/>
        <v>1.26051853394419</v>
      </c>
      <c r="M48">
        <f t="shared" si="0"/>
        <v>20.729486301369864</v>
      </c>
      <c r="N48">
        <f t="shared" si="3"/>
        <v>2.3576765939590385</v>
      </c>
      <c r="O48">
        <f t="shared" si="4"/>
        <v>8218.0300000000007</v>
      </c>
      <c r="P48">
        <f t="shared" si="5"/>
        <v>-605301</v>
      </c>
      <c r="Q48">
        <f t="shared" si="6"/>
        <v>2025</v>
      </c>
      <c r="R48">
        <f t="shared" si="7"/>
        <v>1</v>
      </c>
      <c r="S48">
        <f t="shared" si="8"/>
        <v>6.0807996668054978</v>
      </c>
    </row>
    <row r="49" spans="1:19" x14ac:dyDescent="0.3">
      <c r="A49" t="s">
        <v>57</v>
      </c>
      <c r="B49" s="2">
        <v>45726</v>
      </c>
      <c r="C49" t="s">
        <v>512</v>
      </c>
      <c r="D49" t="s">
        <v>517</v>
      </c>
      <c r="E49">
        <v>4762.4799999999996</v>
      </c>
      <c r="F49">
        <v>4520.42</v>
      </c>
      <c r="G49">
        <v>100064</v>
      </c>
      <c r="H49">
        <v>1424</v>
      </c>
      <c r="I49">
        <v>261</v>
      </c>
      <c r="J49">
        <v>7575.88</v>
      </c>
      <c r="K49">
        <f t="shared" si="1"/>
        <v>1.4230892228973457</v>
      </c>
      <c r="L49">
        <f t="shared" si="2"/>
        <v>3.1744522471910113</v>
      </c>
      <c r="M49">
        <f t="shared" si="0"/>
        <v>17.319616858237548</v>
      </c>
      <c r="N49">
        <f t="shared" si="3"/>
        <v>1.6759239185739379</v>
      </c>
      <c r="O49">
        <f t="shared" si="4"/>
        <v>3055.46</v>
      </c>
      <c r="P49">
        <f t="shared" si="5"/>
        <v>-452042</v>
      </c>
      <c r="Q49">
        <f t="shared" si="6"/>
        <v>2025</v>
      </c>
      <c r="R49">
        <f t="shared" si="7"/>
        <v>3</v>
      </c>
      <c r="S49">
        <f t="shared" si="8"/>
        <v>18.328651685393258</v>
      </c>
    </row>
    <row r="50" spans="1:19" x14ac:dyDescent="0.3">
      <c r="A50" t="s">
        <v>58</v>
      </c>
      <c r="B50" s="2">
        <v>45693</v>
      </c>
      <c r="C50" t="s">
        <v>511</v>
      </c>
      <c r="D50" t="s">
        <v>517</v>
      </c>
      <c r="E50">
        <v>4993.88</v>
      </c>
      <c r="F50">
        <v>4050.37</v>
      </c>
      <c r="G50">
        <v>61208</v>
      </c>
      <c r="H50">
        <v>3037</v>
      </c>
      <c r="I50">
        <v>504</v>
      </c>
      <c r="J50">
        <v>19296.61</v>
      </c>
      <c r="K50">
        <f t="shared" si="1"/>
        <v>4.9617697033067572</v>
      </c>
      <c r="L50">
        <f t="shared" si="2"/>
        <v>1.3336746789594995</v>
      </c>
      <c r="M50">
        <f t="shared" si="0"/>
        <v>8.0364484126984124</v>
      </c>
      <c r="N50">
        <f t="shared" si="3"/>
        <v>4.7641598174981548</v>
      </c>
      <c r="O50">
        <f t="shared" si="4"/>
        <v>15246.240000000002</v>
      </c>
      <c r="P50">
        <f t="shared" si="5"/>
        <v>-405036.99999999988</v>
      </c>
      <c r="Q50">
        <f t="shared" si="6"/>
        <v>2025</v>
      </c>
      <c r="R50">
        <f t="shared" si="7"/>
        <v>2</v>
      </c>
      <c r="S50">
        <f t="shared" si="8"/>
        <v>16.595324333223576</v>
      </c>
    </row>
    <row r="51" spans="1:19" x14ac:dyDescent="0.3">
      <c r="A51" t="s">
        <v>59</v>
      </c>
      <c r="B51" s="2">
        <v>45806</v>
      </c>
      <c r="C51" t="s">
        <v>513</v>
      </c>
      <c r="D51" t="s">
        <v>517</v>
      </c>
      <c r="E51">
        <v>6518.75</v>
      </c>
      <c r="F51">
        <v>5315.67</v>
      </c>
      <c r="G51">
        <v>64306</v>
      </c>
      <c r="H51">
        <v>2956</v>
      </c>
      <c r="I51">
        <v>50</v>
      </c>
      <c r="J51">
        <v>1417.97</v>
      </c>
      <c r="K51">
        <f t="shared" si="1"/>
        <v>4.5967716853792808</v>
      </c>
      <c r="L51">
        <f t="shared" si="2"/>
        <v>1.7982645466847091</v>
      </c>
      <c r="M51">
        <f t="shared" si="0"/>
        <v>106.3134</v>
      </c>
      <c r="N51">
        <f t="shared" si="3"/>
        <v>0.26675282701898351</v>
      </c>
      <c r="O51">
        <f t="shared" si="4"/>
        <v>-3897.7</v>
      </c>
      <c r="P51">
        <f t="shared" si="5"/>
        <v>-531567</v>
      </c>
      <c r="Q51">
        <f t="shared" si="6"/>
        <v>2025</v>
      </c>
      <c r="R51">
        <f t="shared" si="7"/>
        <v>5</v>
      </c>
      <c r="S51">
        <f t="shared" si="8"/>
        <v>1.6914749661705006</v>
      </c>
    </row>
    <row r="52" spans="1:19" x14ac:dyDescent="0.3">
      <c r="A52" t="s">
        <v>60</v>
      </c>
      <c r="B52" s="2">
        <v>45780</v>
      </c>
      <c r="C52" t="s">
        <v>513</v>
      </c>
      <c r="D52" t="s">
        <v>516</v>
      </c>
      <c r="E52">
        <v>9357.86</v>
      </c>
      <c r="F52">
        <v>8158.82</v>
      </c>
      <c r="G52">
        <v>160805</v>
      </c>
      <c r="H52">
        <v>1964</v>
      </c>
      <c r="I52">
        <v>323</v>
      </c>
      <c r="J52">
        <v>7864.03</v>
      </c>
      <c r="K52">
        <f t="shared" si="1"/>
        <v>1.2213550573676191</v>
      </c>
      <c r="L52">
        <f t="shared" si="2"/>
        <v>4.1541853360488794</v>
      </c>
      <c r="M52">
        <f t="shared" si="0"/>
        <v>25.259504643962849</v>
      </c>
      <c r="N52">
        <f t="shared" si="3"/>
        <v>0.96386854961869484</v>
      </c>
      <c r="O52">
        <f t="shared" si="4"/>
        <v>-294.78999999999996</v>
      </c>
      <c r="P52">
        <f t="shared" si="5"/>
        <v>-815882</v>
      </c>
      <c r="Q52">
        <f t="shared" si="6"/>
        <v>2025</v>
      </c>
      <c r="R52">
        <f t="shared" si="7"/>
        <v>5</v>
      </c>
      <c r="S52">
        <f t="shared" si="8"/>
        <v>16.446028513238289</v>
      </c>
    </row>
    <row r="53" spans="1:19" x14ac:dyDescent="0.3">
      <c r="A53" t="s">
        <v>61</v>
      </c>
      <c r="B53" s="2">
        <v>45727</v>
      </c>
      <c r="C53" t="s">
        <v>512</v>
      </c>
      <c r="D53" t="s">
        <v>516</v>
      </c>
      <c r="E53">
        <v>6426.17</v>
      </c>
      <c r="F53">
        <v>7041.12</v>
      </c>
      <c r="G53">
        <v>169372</v>
      </c>
      <c r="H53">
        <v>2478</v>
      </c>
      <c r="I53">
        <v>264</v>
      </c>
      <c r="J53">
        <v>7197.08</v>
      </c>
      <c r="K53">
        <f t="shared" si="1"/>
        <v>1.4630517440899322</v>
      </c>
      <c r="L53">
        <f t="shared" si="2"/>
        <v>2.8414527845036317</v>
      </c>
      <c r="M53">
        <f t="shared" si="0"/>
        <v>26.670909090909092</v>
      </c>
      <c r="N53">
        <f t="shared" si="3"/>
        <v>1.0221498852455291</v>
      </c>
      <c r="O53">
        <f t="shared" si="4"/>
        <v>155.96000000000004</v>
      </c>
      <c r="P53">
        <f t="shared" si="5"/>
        <v>-704112</v>
      </c>
      <c r="Q53">
        <f t="shared" si="6"/>
        <v>2025</v>
      </c>
      <c r="R53">
        <f t="shared" si="7"/>
        <v>3</v>
      </c>
      <c r="S53">
        <f t="shared" si="8"/>
        <v>10.653753026634384</v>
      </c>
    </row>
    <row r="54" spans="1:19" x14ac:dyDescent="0.3">
      <c r="A54" t="s">
        <v>62</v>
      </c>
      <c r="B54" s="2">
        <v>45667</v>
      </c>
      <c r="C54" t="s">
        <v>511</v>
      </c>
      <c r="D54" t="s">
        <v>516</v>
      </c>
      <c r="E54">
        <v>7704.95</v>
      </c>
      <c r="F54">
        <v>7924.43</v>
      </c>
      <c r="G54">
        <v>77537</v>
      </c>
      <c r="H54">
        <v>3060</v>
      </c>
      <c r="I54">
        <v>221</v>
      </c>
      <c r="J54">
        <v>5995.54</v>
      </c>
      <c r="K54">
        <f t="shared" si="1"/>
        <v>3.9465029598772197</v>
      </c>
      <c r="L54">
        <f t="shared" si="2"/>
        <v>2.5896830065359477</v>
      </c>
      <c r="M54">
        <f t="shared" si="0"/>
        <v>35.857149321266967</v>
      </c>
      <c r="N54">
        <f t="shared" si="3"/>
        <v>0.7565894329308227</v>
      </c>
      <c r="O54">
        <f t="shared" si="4"/>
        <v>-1928.8900000000003</v>
      </c>
      <c r="P54">
        <f t="shared" si="5"/>
        <v>-792443</v>
      </c>
      <c r="Q54">
        <f t="shared" si="6"/>
        <v>2025</v>
      </c>
      <c r="R54">
        <f t="shared" si="7"/>
        <v>1</v>
      </c>
      <c r="S54">
        <f t="shared" si="8"/>
        <v>7.2222222222222214</v>
      </c>
    </row>
    <row r="55" spans="1:19" x14ac:dyDescent="0.3">
      <c r="A55" t="s">
        <v>63</v>
      </c>
      <c r="B55" s="2">
        <v>45682</v>
      </c>
      <c r="C55" t="s">
        <v>512</v>
      </c>
      <c r="D55" t="s">
        <v>515</v>
      </c>
      <c r="E55">
        <v>8097.51</v>
      </c>
      <c r="F55">
        <v>7371.45</v>
      </c>
      <c r="G55">
        <v>111631</v>
      </c>
      <c r="H55">
        <v>2469</v>
      </c>
      <c r="I55">
        <v>139</v>
      </c>
      <c r="J55">
        <v>5416.72</v>
      </c>
      <c r="K55">
        <f t="shared" si="1"/>
        <v>2.2117512160600548</v>
      </c>
      <c r="L55">
        <f t="shared" si="2"/>
        <v>2.9856014580801942</v>
      </c>
      <c r="M55">
        <f t="shared" si="0"/>
        <v>53.032014388489209</v>
      </c>
      <c r="N55">
        <f t="shared" si="3"/>
        <v>0.7348242204722274</v>
      </c>
      <c r="O55">
        <f t="shared" si="4"/>
        <v>-1954.7299999999996</v>
      </c>
      <c r="P55">
        <f t="shared" si="5"/>
        <v>-737145</v>
      </c>
      <c r="Q55">
        <f t="shared" si="6"/>
        <v>2025</v>
      </c>
      <c r="R55">
        <f t="shared" si="7"/>
        <v>1</v>
      </c>
      <c r="S55">
        <f t="shared" si="8"/>
        <v>5.6298096395301744</v>
      </c>
    </row>
    <row r="56" spans="1:19" x14ac:dyDescent="0.3">
      <c r="A56" t="s">
        <v>64</v>
      </c>
      <c r="B56" s="2">
        <v>45674</v>
      </c>
      <c r="C56" t="s">
        <v>510</v>
      </c>
      <c r="D56" t="s">
        <v>515</v>
      </c>
      <c r="E56">
        <v>7434.71</v>
      </c>
      <c r="F56">
        <v>7142.77</v>
      </c>
      <c r="G56">
        <v>102718</v>
      </c>
      <c r="H56">
        <v>2206</v>
      </c>
      <c r="I56">
        <v>152</v>
      </c>
      <c r="J56">
        <v>3451.72</v>
      </c>
      <c r="K56">
        <f t="shared" si="1"/>
        <v>2.1476274849588193</v>
      </c>
      <c r="L56">
        <f t="shared" si="2"/>
        <v>3.2378830462375343</v>
      </c>
      <c r="M56">
        <f t="shared" si="0"/>
        <v>46.991907894736848</v>
      </c>
      <c r="N56">
        <f t="shared" si="3"/>
        <v>0.48324669560968636</v>
      </c>
      <c r="O56">
        <f t="shared" si="4"/>
        <v>-3691.0500000000006</v>
      </c>
      <c r="P56">
        <f t="shared" si="5"/>
        <v>-714277</v>
      </c>
      <c r="Q56">
        <f t="shared" si="6"/>
        <v>2025</v>
      </c>
      <c r="R56">
        <f t="shared" si="7"/>
        <v>1</v>
      </c>
      <c r="S56">
        <f t="shared" si="8"/>
        <v>6.8902991840435179</v>
      </c>
    </row>
    <row r="57" spans="1:19" x14ac:dyDescent="0.3">
      <c r="A57" t="s">
        <v>65</v>
      </c>
      <c r="B57" s="2">
        <v>45684</v>
      </c>
      <c r="C57" t="s">
        <v>513</v>
      </c>
      <c r="D57" t="s">
        <v>515</v>
      </c>
      <c r="E57">
        <v>8847.1200000000008</v>
      </c>
      <c r="F57">
        <v>7929.09</v>
      </c>
      <c r="G57">
        <v>79647</v>
      </c>
      <c r="H57">
        <v>2287</v>
      </c>
      <c r="I57">
        <v>311</v>
      </c>
      <c r="J57">
        <v>7960.22</v>
      </c>
      <c r="K57">
        <f t="shared" si="1"/>
        <v>2.8714201413738119</v>
      </c>
      <c r="L57">
        <f t="shared" si="2"/>
        <v>3.4670266724967207</v>
      </c>
      <c r="M57">
        <f t="shared" si="0"/>
        <v>25.495466237942122</v>
      </c>
      <c r="N57">
        <f t="shared" si="3"/>
        <v>1.0039260495214457</v>
      </c>
      <c r="O57">
        <f t="shared" si="4"/>
        <v>31.130000000000109</v>
      </c>
      <c r="P57">
        <f t="shared" si="5"/>
        <v>-792909</v>
      </c>
      <c r="Q57">
        <f t="shared" si="6"/>
        <v>2025</v>
      </c>
      <c r="R57">
        <f t="shared" si="7"/>
        <v>1</v>
      </c>
      <c r="S57">
        <f t="shared" si="8"/>
        <v>13.598600787057279</v>
      </c>
    </row>
    <row r="58" spans="1:19" x14ac:dyDescent="0.3">
      <c r="A58" t="s">
        <v>66</v>
      </c>
      <c r="B58" s="2">
        <v>45704</v>
      </c>
      <c r="C58" t="s">
        <v>511</v>
      </c>
      <c r="D58" t="s">
        <v>517</v>
      </c>
      <c r="E58">
        <v>3285.43</v>
      </c>
      <c r="F58">
        <v>3210.75</v>
      </c>
      <c r="G58">
        <v>155333</v>
      </c>
      <c r="H58">
        <v>2501</v>
      </c>
      <c r="I58">
        <v>402</v>
      </c>
      <c r="J58">
        <v>16211.43</v>
      </c>
      <c r="K58">
        <f t="shared" si="1"/>
        <v>1.6100892920371073</v>
      </c>
      <c r="L58">
        <f t="shared" si="2"/>
        <v>1.2837864854058376</v>
      </c>
      <c r="M58">
        <f t="shared" si="0"/>
        <v>7.9869402985074629</v>
      </c>
      <c r="N58">
        <f t="shared" si="3"/>
        <v>5.0491100210231252</v>
      </c>
      <c r="O58">
        <f t="shared" si="4"/>
        <v>13000.68</v>
      </c>
      <c r="P58">
        <f t="shared" si="5"/>
        <v>-321075</v>
      </c>
      <c r="Q58">
        <f t="shared" si="6"/>
        <v>2025</v>
      </c>
      <c r="R58">
        <f t="shared" si="7"/>
        <v>2</v>
      </c>
      <c r="S58">
        <f t="shared" si="8"/>
        <v>16.073570571771292</v>
      </c>
    </row>
    <row r="59" spans="1:19" x14ac:dyDescent="0.3">
      <c r="A59" t="s">
        <v>67</v>
      </c>
      <c r="B59" s="2">
        <v>45772</v>
      </c>
      <c r="C59" t="s">
        <v>513</v>
      </c>
      <c r="D59" t="s">
        <v>515</v>
      </c>
      <c r="E59">
        <v>3116.11</v>
      </c>
      <c r="F59">
        <v>2971.61</v>
      </c>
      <c r="G59">
        <v>81389</v>
      </c>
      <c r="H59">
        <v>3140</v>
      </c>
      <c r="I59">
        <v>392</v>
      </c>
      <c r="J59">
        <v>10503.59</v>
      </c>
      <c r="K59">
        <f t="shared" si="1"/>
        <v>3.858015210900736</v>
      </c>
      <c r="L59">
        <f t="shared" si="2"/>
        <v>0.94637261146496821</v>
      </c>
      <c r="M59">
        <f t="shared" si="0"/>
        <v>7.5806377551020407</v>
      </c>
      <c r="N59">
        <f t="shared" si="3"/>
        <v>3.5346462018905576</v>
      </c>
      <c r="O59">
        <f t="shared" si="4"/>
        <v>7531.98</v>
      </c>
      <c r="P59">
        <f t="shared" si="5"/>
        <v>-297161.00000000006</v>
      </c>
      <c r="Q59">
        <f t="shared" si="6"/>
        <v>2025</v>
      </c>
      <c r="R59">
        <f t="shared" si="7"/>
        <v>4</v>
      </c>
      <c r="S59">
        <f t="shared" si="8"/>
        <v>12.48407643312102</v>
      </c>
    </row>
    <row r="60" spans="1:19" x14ac:dyDescent="0.3">
      <c r="A60" t="s">
        <v>68</v>
      </c>
      <c r="B60" s="2">
        <v>45769</v>
      </c>
      <c r="C60" t="s">
        <v>514</v>
      </c>
      <c r="D60" t="s">
        <v>517</v>
      </c>
      <c r="E60">
        <v>7516.21</v>
      </c>
      <c r="F60">
        <v>6406.14</v>
      </c>
      <c r="G60">
        <v>146743</v>
      </c>
      <c r="H60">
        <v>3193</v>
      </c>
      <c r="I60">
        <v>385</v>
      </c>
      <c r="J60">
        <v>15680.33</v>
      </c>
      <c r="K60">
        <f t="shared" si="1"/>
        <v>2.1759129907389112</v>
      </c>
      <c r="L60">
        <f t="shared" si="2"/>
        <v>2.0063075477607266</v>
      </c>
      <c r="M60">
        <f t="shared" si="0"/>
        <v>16.639324675324676</v>
      </c>
      <c r="N60">
        <f t="shared" si="3"/>
        <v>2.4477032971492974</v>
      </c>
      <c r="O60">
        <f t="shared" si="4"/>
        <v>9274.1899999999987</v>
      </c>
      <c r="P60">
        <f t="shared" si="5"/>
        <v>-640614.00000000012</v>
      </c>
      <c r="Q60">
        <f t="shared" si="6"/>
        <v>2025</v>
      </c>
      <c r="R60">
        <f t="shared" si="7"/>
        <v>4</v>
      </c>
      <c r="S60">
        <f t="shared" si="8"/>
        <v>12.057626056999688</v>
      </c>
    </row>
    <row r="61" spans="1:19" x14ac:dyDescent="0.3">
      <c r="A61" t="s">
        <v>69</v>
      </c>
      <c r="B61" s="2">
        <v>45747</v>
      </c>
      <c r="C61" t="s">
        <v>513</v>
      </c>
      <c r="D61" t="s">
        <v>517</v>
      </c>
      <c r="E61">
        <v>5707.15</v>
      </c>
      <c r="F61">
        <v>6169.54</v>
      </c>
      <c r="G61">
        <v>121778</v>
      </c>
      <c r="H61">
        <v>2381</v>
      </c>
      <c r="I61">
        <v>316</v>
      </c>
      <c r="J61">
        <v>7623.7</v>
      </c>
      <c r="K61">
        <f t="shared" si="1"/>
        <v>1.9551971620489743</v>
      </c>
      <c r="L61">
        <f t="shared" si="2"/>
        <v>2.5911549769004618</v>
      </c>
      <c r="M61">
        <f t="shared" si="0"/>
        <v>19.523860759493672</v>
      </c>
      <c r="N61">
        <f t="shared" si="3"/>
        <v>1.2356999063139229</v>
      </c>
      <c r="O61">
        <f t="shared" si="4"/>
        <v>1454.1599999999999</v>
      </c>
      <c r="P61">
        <f t="shared" si="5"/>
        <v>-616954</v>
      </c>
      <c r="Q61">
        <f t="shared" si="6"/>
        <v>2025</v>
      </c>
      <c r="R61">
        <f t="shared" si="7"/>
        <v>3</v>
      </c>
      <c r="S61">
        <f t="shared" si="8"/>
        <v>13.271734565308693</v>
      </c>
    </row>
    <row r="62" spans="1:19" x14ac:dyDescent="0.3">
      <c r="A62" t="s">
        <v>70</v>
      </c>
      <c r="B62" s="2">
        <v>45645</v>
      </c>
      <c r="C62" t="s">
        <v>511</v>
      </c>
      <c r="D62" t="s">
        <v>515</v>
      </c>
      <c r="E62">
        <v>5387.46</v>
      </c>
      <c r="F62">
        <v>4493.37</v>
      </c>
      <c r="G62">
        <v>145652</v>
      </c>
      <c r="H62">
        <v>3086</v>
      </c>
      <c r="I62">
        <v>536</v>
      </c>
      <c r="J62">
        <v>25589.07</v>
      </c>
      <c r="K62">
        <f t="shared" si="1"/>
        <v>2.118748798506028</v>
      </c>
      <c r="L62">
        <f t="shared" si="2"/>
        <v>1.456049902786779</v>
      </c>
      <c r="M62">
        <f t="shared" si="0"/>
        <v>8.3831529850746271</v>
      </c>
      <c r="N62">
        <f t="shared" si="3"/>
        <v>5.6948504129417339</v>
      </c>
      <c r="O62">
        <f t="shared" si="4"/>
        <v>21095.7</v>
      </c>
      <c r="P62">
        <f t="shared" si="5"/>
        <v>-449336.99999999988</v>
      </c>
      <c r="Q62">
        <f t="shared" si="6"/>
        <v>2024</v>
      </c>
      <c r="R62">
        <f t="shared" si="7"/>
        <v>12</v>
      </c>
      <c r="S62">
        <f t="shared" si="8"/>
        <v>17.368762151652625</v>
      </c>
    </row>
    <row r="63" spans="1:19" x14ac:dyDescent="0.3">
      <c r="A63" t="s">
        <v>71</v>
      </c>
      <c r="B63" s="2">
        <v>45710</v>
      </c>
      <c r="C63" t="s">
        <v>511</v>
      </c>
      <c r="D63" t="s">
        <v>516</v>
      </c>
      <c r="E63">
        <v>9141.3799999999992</v>
      </c>
      <c r="F63">
        <v>8020.49</v>
      </c>
      <c r="G63">
        <v>80391</v>
      </c>
      <c r="H63">
        <v>1900</v>
      </c>
      <c r="I63">
        <v>189</v>
      </c>
      <c r="J63">
        <v>7522.11</v>
      </c>
      <c r="K63">
        <f t="shared" si="1"/>
        <v>2.3634486447487904</v>
      </c>
      <c r="L63">
        <f t="shared" si="2"/>
        <v>4.2213105263157891</v>
      </c>
      <c r="M63">
        <f t="shared" si="0"/>
        <v>42.436455026455022</v>
      </c>
      <c r="N63">
        <f t="shared" si="3"/>
        <v>0.93786165184421399</v>
      </c>
      <c r="O63">
        <f t="shared" si="4"/>
        <v>-498.38000000000011</v>
      </c>
      <c r="P63">
        <f t="shared" si="5"/>
        <v>-802049</v>
      </c>
      <c r="Q63">
        <f t="shared" si="6"/>
        <v>2025</v>
      </c>
      <c r="R63">
        <f t="shared" si="7"/>
        <v>2</v>
      </c>
      <c r="S63">
        <f t="shared" si="8"/>
        <v>9.9473684210526319</v>
      </c>
    </row>
    <row r="64" spans="1:19" x14ac:dyDescent="0.3">
      <c r="A64" t="s">
        <v>72</v>
      </c>
      <c r="B64" s="2">
        <v>45717</v>
      </c>
      <c r="C64" t="s">
        <v>512</v>
      </c>
      <c r="D64" t="s">
        <v>515</v>
      </c>
      <c r="E64">
        <v>8720.56</v>
      </c>
      <c r="F64">
        <v>8428.9500000000007</v>
      </c>
      <c r="G64">
        <v>136864</v>
      </c>
      <c r="H64">
        <v>3696</v>
      </c>
      <c r="I64">
        <v>599</v>
      </c>
      <c r="J64">
        <v>21497.82</v>
      </c>
      <c r="K64">
        <f t="shared" si="1"/>
        <v>2.7004909983633385</v>
      </c>
      <c r="L64">
        <f t="shared" si="2"/>
        <v>2.2805600649350652</v>
      </c>
      <c r="M64">
        <f t="shared" si="0"/>
        <v>14.071702838063441</v>
      </c>
      <c r="N64">
        <f t="shared" si="3"/>
        <v>2.5504742583595821</v>
      </c>
      <c r="O64">
        <f t="shared" si="4"/>
        <v>13068.869999999999</v>
      </c>
      <c r="P64">
        <f t="shared" si="5"/>
        <v>-842895.00000000012</v>
      </c>
      <c r="Q64">
        <f t="shared" si="6"/>
        <v>2025</v>
      </c>
      <c r="R64">
        <f t="shared" si="7"/>
        <v>3</v>
      </c>
      <c r="S64">
        <f t="shared" si="8"/>
        <v>16.206709956709954</v>
      </c>
    </row>
    <row r="65" spans="1:19" x14ac:dyDescent="0.3">
      <c r="A65" t="s">
        <v>73</v>
      </c>
      <c r="B65" s="2">
        <v>45805</v>
      </c>
      <c r="C65" t="s">
        <v>512</v>
      </c>
      <c r="D65" t="s">
        <v>516</v>
      </c>
      <c r="E65">
        <v>4692.97</v>
      </c>
      <c r="F65">
        <v>3885.45</v>
      </c>
      <c r="G65">
        <v>135649</v>
      </c>
      <c r="H65">
        <v>5567</v>
      </c>
      <c r="I65">
        <v>914</v>
      </c>
      <c r="J65">
        <v>42881.66</v>
      </c>
      <c r="K65">
        <f t="shared" si="1"/>
        <v>4.1039742276021203</v>
      </c>
      <c r="L65">
        <f t="shared" si="2"/>
        <v>0.69794323693192017</v>
      </c>
      <c r="M65">
        <f t="shared" si="0"/>
        <v>4.2510393873085341</v>
      </c>
      <c r="N65">
        <f t="shared" si="3"/>
        <v>11.036471965924154</v>
      </c>
      <c r="O65">
        <f t="shared" si="4"/>
        <v>38996.210000000006</v>
      </c>
      <c r="P65">
        <f t="shared" si="5"/>
        <v>-388544.99999999971</v>
      </c>
      <c r="Q65">
        <f t="shared" si="6"/>
        <v>2025</v>
      </c>
      <c r="R65">
        <f t="shared" si="7"/>
        <v>5</v>
      </c>
      <c r="S65">
        <f t="shared" si="8"/>
        <v>16.418178552182503</v>
      </c>
    </row>
    <row r="66" spans="1:19" x14ac:dyDescent="0.3">
      <c r="A66" t="s">
        <v>74</v>
      </c>
      <c r="B66" s="2">
        <v>45734</v>
      </c>
      <c r="C66" t="s">
        <v>513</v>
      </c>
      <c r="D66" t="s">
        <v>517</v>
      </c>
      <c r="E66">
        <v>9302.93</v>
      </c>
      <c r="F66">
        <v>9209.25</v>
      </c>
      <c r="G66">
        <v>75522</v>
      </c>
      <c r="H66">
        <v>1938</v>
      </c>
      <c r="I66">
        <v>231</v>
      </c>
      <c r="J66">
        <v>6969.48</v>
      </c>
      <c r="K66">
        <f t="shared" si="1"/>
        <v>2.5661396679113371</v>
      </c>
      <c r="L66">
        <f t="shared" si="2"/>
        <v>4.7519349845201235</v>
      </c>
      <c r="M66">
        <f t="shared" ref="M66:M129" si="9">(F66/I66)</f>
        <v>39.866883116883116</v>
      </c>
      <c r="N66">
        <f t="shared" si="3"/>
        <v>0.75679126964736543</v>
      </c>
      <c r="O66">
        <f t="shared" si="4"/>
        <v>-2239.7700000000004</v>
      </c>
      <c r="P66">
        <f t="shared" si="5"/>
        <v>-920925</v>
      </c>
      <c r="Q66">
        <f t="shared" si="6"/>
        <v>2025</v>
      </c>
      <c r="R66">
        <f t="shared" si="7"/>
        <v>3</v>
      </c>
      <c r="S66">
        <f t="shared" si="8"/>
        <v>11.919504643962849</v>
      </c>
    </row>
    <row r="67" spans="1:19" x14ac:dyDescent="0.3">
      <c r="A67" t="s">
        <v>75</v>
      </c>
      <c r="B67" s="2">
        <v>45654</v>
      </c>
      <c r="C67" t="s">
        <v>513</v>
      </c>
      <c r="D67" t="s">
        <v>517</v>
      </c>
      <c r="E67">
        <v>5444.47</v>
      </c>
      <c r="F67">
        <v>5541.31</v>
      </c>
      <c r="G67">
        <v>180933</v>
      </c>
      <c r="H67">
        <v>2435</v>
      </c>
      <c r="I67">
        <v>256</v>
      </c>
      <c r="J67">
        <v>12009.81</v>
      </c>
      <c r="K67">
        <f t="shared" ref="K67:K130" si="10">((H67/G67)*100)</f>
        <v>1.3458020372181969</v>
      </c>
      <c r="L67">
        <f t="shared" ref="L67:L130" si="11">(F67/H67)</f>
        <v>2.2756919917864478</v>
      </c>
      <c r="M67">
        <f t="shared" si="9"/>
        <v>21.645742187500002</v>
      </c>
      <c r="N67">
        <f t="shared" ref="N67:N130" si="12">(J67/F67)</f>
        <v>2.1673232502783635</v>
      </c>
      <c r="O67">
        <f t="shared" ref="O67:O130" si="13">(J67-F67)</f>
        <v>6468.4999999999991</v>
      </c>
      <c r="P67">
        <f t="shared" ref="P67:P130" si="14">(O67-J67)*100</f>
        <v>-554131</v>
      </c>
      <c r="Q67">
        <f t="shared" ref="Q67:Q130" si="15">YEAR(B67)</f>
        <v>2024</v>
      </c>
      <c r="R67">
        <f t="shared" ref="R67:R130" si="16">MONTH(B67)</f>
        <v>12</v>
      </c>
      <c r="S67">
        <f t="shared" ref="S67:S130" si="17">(I67/H67)*100</f>
        <v>10.513347022587268</v>
      </c>
    </row>
    <row r="68" spans="1:19" x14ac:dyDescent="0.3">
      <c r="A68" t="s">
        <v>76</v>
      </c>
      <c r="B68" s="2">
        <v>45757</v>
      </c>
      <c r="C68" t="s">
        <v>514</v>
      </c>
      <c r="D68" t="s">
        <v>516</v>
      </c>
      <c r="E68">
        <v>9209.6</v>
      </c>
      <c r="F68">
        <v>9522.3799999999992</v>
      </c>
      <c r="G68">
        <v>130681</v>
      </c>
      <c r="H68">
        <v>5935</v>
      </c>
      <c r="I68">
        <v>667</v>
      </c>
      <c r="J68">
        <v>26187.05</v>
      </c>
      <c r="K68">
        <f t="shared" si="10"/>
        <v>4.5415936517167754</v>
      </c>
      <c r="L68">
        <f t="shared" si="11"/>
        <v>1.6044448188711036</v>
      </c>
      <c r="M68">
        <f t="shared" si="9"/>
        <v>14.276431784107945</v>
      </c>
      <c r="N68">
        <f t="shared" si="12"/>
        <v>2.7500530329602473</v>
      </c>
      <c r="O68">
        <f t="shared" si="13"/>
        <v>16664.669999999998</v>
      </c>
      <c r="P68">
        <f t="shared" si="14"/>
        <v>-952238.00000000012</v>
      </c>
      <c r="Q68">
        <f t="shared" si="15"/>
        <v>2025</v>
      </c>
      <c r="R68">
        <f t="shared" si="16"/>
        <v>4</v>
      </c>
      <c r="S68">
        <f t="shared" si="17"/>
        <v>11.238416175231675</v>
      </c>
    </row>
    <row r="69" spans="1:19" x14ac:dyDescent="0.3">
      <c r="A69" t="s">
        <v>77</v>
      </c>
      <c r="B69" s="2">
        <v>45687</v>
      </c>
      <c r="C69" t="s">
        <v>511</v>
      </c>
      <c r="D69" t="s">
        <v>516</v>
      </c>
      <c r="E69">
        <v>3588.98</v>
      </c>
      <c r="F69">
        <v>3045.21</v>
      </c>
      <c r="G69">
        <v>162389</v>
      </c>
      <c r="H69">
        <v>4500</v>
      </c>
      <c r="I69">
        <v>742</v>
      </c>
      <c r="J69">
        <v>34841.82</v>
      </c>
      <c r="K69">
        <f t="shared" si="10"/>
        <v>2.7711236598538078</v>
      </c>
      <c r="L69">
        <f t="shared" si="11"/>
        <v>0.67671333333333339</v>
      </c>
      <c r="M69">
        <f t="shared" si="9"/>
        <v>4.1040566037735848</v>
      </c>
      <c r="N69">
        <f t="shared" si="12"/>
        <v>11.441516348626203</v>
      </c>
      <c r="O69">
        <f t="shared" si="13"/>
        <v>31796.61</v>
      </c>
      <c r="P69">
        <f t="shared" si="14"/>
        <v>-304520.99999999988</v>
      </c>
      <c r="Q69">
        <f t="shared" si="15"/>
        <v>2025</v>
      </c>
      <c r="R69">
        <f t="shared" si="16"/>
        <v>1</v>
      </c>
      <c r="S69">
        <f t="shared" si="17"/>
        <v>16.488888888888891</v>
      </c>
    </row>
    <row r="70" spans="1:19" x14ac:dyDescent="0.3">
      <c r="A70" t="s">
        <v>78</v>
      </c>
      <c r="B70" s="2">
        <v>45802</v>
      </c>
      <c r="C70" t="s">
        <v>512</v>
      </c>
      <c r="D70" t="s">
        <v>515</v>
      </c>
      <c r="E70">
        <v>7245</v>
      </c>
      <c r="F70">
        <v>5815.99</v>
      </c>
      <c r="G70">
        <v>94836</v>
      </c>
      <c r="H70">
        <v>3956</v>
      </c>
      <c r="I70">
        <v>181</v>
      </c>
      <c r="J70">
        <v>4170.99</v>
      </c>
      <c r="K70">
        <f t="shared" si="10"/>
        <v>4.1714117001982371</v>
      </c>
      <c r="L70">
        <f t="shared" si="11"/>
        <v>1.470169362992922</v>
      </c>
      <c r="M70">
        <f t="shared" si="9"/>
        <v>32.132541436464088</v>
      </c>
      <c r="N70">
        <f t="shared" si="12"/>
        <v>0.71715907351972752</v>
      </c>
      <c r="O70">
        <f t="shared" si="13"/>
        <v>-1645</v>
      </c>
      <c r="P70">
        <f t="shared" si="14"/>
        <v>-581599</v>
      </c>
      <c r="Q70">
        <f t="shared" si="15"/>
        <v>2025</v>
      </c>
      <c r="R70">
        <f t="shared" si="16"/>
        <v>5</v>
      </c>
      <c r="S70">
        <f t="shared" si="17"/>
        <v>4.5753286147623857</v>
      </c>
    </row>
    <row r="71" spans="1:19" x14ac:dyDescent="0.3">
      <c r="A71" t="s">
        <v>79</v>
      </c>
      <c r="B71" s="2">
        <v>45698</v>
      </c>
      <c r="C71" t="s">
        <v>511</v>
      </c>
      <c r="D71" t="s">
        <v>518</v>
      </c>
      <c r="E71">
        <v>7644.51</v>
      </c>
      <c r="F71">
        <v>6127.22</v>
      </c>
      <c r="G71">
        <v>191486</v>
      </c>
      <c r="H71">
        <v>4445</v>
      </c>
      <c r="I71">
        <v>80</v>
      </c>
      <c r="J71">
        <v>1985.94</v>
      </c>
      <c r="K71">
        <f t="shared" si="10"/>
        <v>2.3213185298141901</v>
      </c>
      <c r="L71">
        <f t="shared" si="11"/>
        <v>1.3784521934758156</v>
      </c>
      <c r="M71">
        <f t="shared" si="9"/>
        <v>76.590249999999997</v>
      </c>
      <c r="N71">
        <f t="shared" si="12"/>
        <v>0.32411762593802734</v>
      </c>
      <c r="O71">
        <f t="shared" si="13"/>
        <v>-4141.2800000000007</v>
      </c>
      <c r="P71">
        <f t="shared" si="14"/>
        <v>-612722.00000000012</v>
      </c>
      <c r="Q71">
        <f t="shared" si="15"/>
        <v>2025</v>
      </c>
      <c r="R71">
        <f t="shared" si="16"/>
        <v>2</v>
      </c>
      <c r="S71">
        <f t="shared" si="17"/>
        <v>1.799775028121485</v>
      </c>
    </row>
    <row r="72" spans="1:19" x14ac:dyDescent="0.3">
      <c r="A72" t="s">
        <v>80</v>
      </c>
      <c r="B72" s="2">
        <v>45724</v>
      </c>
      <c r="C72" t="s">
        <v>514</v>
      </c>
      <c r="D72" t="s">
        <v>518</v>
      </c>
      <c r="E72">
        <v>6841.14</v>
      </c>
      <c r="F72">
        <v>6892.92</v>
      </c>
      <c r="G72">
        <v>138384</v>
      </c>
      <c r="H72">
        <v>3042</v>
      </c>
      <c r="I72">
        <v>323</v>
      </c>
      <c r="J72">
        <v>12777.5</v>
      </c>
      <c r="K72">
        <f t="shared" si="10"/>
        <v>2.1982310093652444</v>
      </c>
      <c r="L72">
        <f t="shared" si="11"/>
        <v>2.2659171597633136</v>
      </c>
      <c r="M72">
        <f t="shared" si="9"/>
        <v>21.34030959752322</v>
      </c>
      <c r="N72">
        <f t="shared" si="12"/>
        <v>1.8537136656163136</v>
      </c>
      <c r="O72">
        <f t="shared" si="13"/>
        <v>5884.58</v>
      </c>
      <c r="P72">
        <f t="shared" si="14"/>
        <v>-689292</v>
      </c>
      <c r="Q72">
        <f t="shared" si="15"/>
        <v>2025</v>
      </c>
      <c r="R72">
        <f t="shared" si="16"/>
        <v>3</v>
      </c>
      <c r="S72">
        <f t="shared" si="17"/>
        <v>10.61801446416831</v>
      </c>
    </row>
    <row r="73" spans="1:19" x14ac:dyDescent="0.3">
      <c r="A73" t="s">
        <v>81</v>
      </c>
      <c r="B73" s="2">
        <v>45785</v>
      </c>
      <c r="C73" t="s">
        <v>513</v>
      </c>
      <c r="D73" t="s">
        <v>517</v>
      </c>
      <c r="E73">
        <v>4569.8900000000003</v>
      </c>
      <c r="F73">
        <v>4632.29</v>
      </c>
      <c r="G73">
        <v>72528</v>
      </c>
      <c r="H73">
        <v>1306</v>
      </c>
      <c r="I73">
        <v>139</v>
      </c>
      <c r="J73">
        <v>3769.33</v>
      </c>
      <c r="K73">
        <f t="shared" si="10"/>
        <v>1.800683873814251</v>
      </c>
      <c r="L73">
        <f t="shared" si="11"/>
        <v>3.5469295558958653</v>
      </c>
      <c r="M73">
        <f t="shared" si="9"/>
        <v>33.325827338129493</v>
      </c>
      <c r="N73">
        <f t="shared" si="12"/>
        <v>0.81370769101243656</v>
      </c>
      <c r="O73">
        <f t="shared" si="13"/>
        <v>-862.96</v>
      </c>
      <c r="P73">
        <f t="shared" si="14"/>
        <v>-463229</v>
      </c>
      <c r="Q73">
        <f t="shared" si="15"/>
        <v>2025</v>
      </c>
      <c r="R73">
        <f t="shared" si="16"/>
        <v>5</v>
      </c>
      <c r="S73">
        <f t="shared" si="17"/>
        <v>10.643185298621747</v>
      </c>
    </row>
    <row r="74" spans="1:19" x14ac:dyDescent="0.3">
      <c r="A74" t="s">
        <v>82</v>
      </c>
      <c r="B74" s="2">
        <v>45712</v>
      </c>
      <c r="C74" t="s">
        <v>514</v>
      </c>
      <c r="D74" t="s">
        <v>518</v>
      </c>
      <c r="E74">
        <v>5277.8</v>
      </c>
      <c r="F74">
        <v>5404.19</v>
      </c>
      <c r="G74">
        <v>173181</v>
      </c>
      <c r="H74">
        <v>6365</v>
      </c>
      <c r="I74">
        <v>651</v>
      </c>
      <c r="J74">
        <v>25707.33</v>
      </c>
      <c r="K74">
        <f t="shared" si="10"/>
        <v>3.6753454478262628</v>
      </c>
      <c r="L74">
        <f t="shared" si="11"/>
        <v>0.84904791830322068</v>
      </c>
      <c r="M74">
        <f t="shared" si="9"/>
        <v>8.3013671274961585</v>
      </c>
      <c r="N74">
        <f t="shared" si="12"/>
        <v>4.7569256447312185</v>
      </c>
      <c r="O74">
        <f t="shared" si="13"/>
        <v>20303.140000000003</v>
      </c>
      <c r="P74">
        <f t="shared" si="14"/>
        <v>-540418.99999999988</v>
      </c>
      <c r="Q74">
        <f t="shared" si="15"/>
        <v>2025</v>
      </c>
      <c r="R74">
        <f t="shared" si="16"/>
        <v>2</v>
      </c>
      <c r="S74">
        <f t="shared" si="17"/>
        <v>10.227808326787118</v>
      </c>
    </row>
    <row r="75" spans="1:19" x14ac:dyDescent="0.3">
      <c r="A75" t="s">
        <v>83</v>
      </c>
      <c r="B75" s="2">
        <v>45674</v>
      </c>
      <c r="C75" t="s">
        <v>511</v>
      </c>
      <c r="D75" t="s">
        <v>517</v>
      </c>
      <c r="E75">
        <v>8944.56</v>
      </c>
      <c r="F75">
        <v>8920.27</v>
      </c>
      <c r="G75">
        <v>107709</v>
      </c>
      <c r="H75">
        <v>2586</v>
      </c>
      <c r="I75">
        <v>314</v>
      </c>
      <c r="J75">
        <v>11633.47</v>
      </c>
      <c r="K75">
        <f t="shared" si="10"/>
        <v>2.4009135726819486</v>
      </c>
      <c r="L75">
        <f t="shared" si="11"/>
        <v>3.449447022428461</v>
      </c>
      <c r="M75">
        <f t="shared" si="9"/>
        <v>28.408503184713378</v>
      </c>
      <c r="N75">
        <f t="shared" si="12"/>
        <v>1.3041611969144431</v>
      </c>
      <c r="O75">
        <f t="shared" si="13"/>
        <v>2713.1999999999989</v>
      </c>
      <c r="P75">
        <f t="shared" si="14"/>
        <v>-892027</v>
      </c>
      <c r="Q75">
        <f t="shared" si="15"/>
        <v>2025</v>
      </c>
      <c r="R75">
        <f t="shared" si="16"/>
        <v>1</v>
      </c>
      <c r="S75">
        <f t="shared" si="17"/>
        <v>12.142304717710751</v>
      </c>
    </row>
    <row r="76" spans="1:19" x14ac:dyDescent="0.3">
      <c r="A76" t="s">
        <v>84</v>
      </c>
      <c r="B76" s="2">
        <v>45757</v>
      </c>
      <c r="C76" t="s">
        <v>512</v>
      </c>
      <c r="D76" t="s">
        <v>516</v>
      </c>
      <c r="E76">
        <v>3655.72</v>
      </c>
      <c r="F76">
        <v>3327.86</v>
      </c>
      <c r="G76">
        <v>86473</v>
      </c>
      <c r="H76">
        <v>2750</v>
      </c>
      <c r="I76">
        <v>491</v>
      </c>
      <c r="J76">
        <v>13726.43</v>
      </c>
      <c r="K76">
        <f t="shared" si="10"/>
        <v>3.1801834098504731</v>
      </c>
      <c r="L76">
        <f t="shared" si="11"/>
        <v>1.2101309090909091</v>
      </c>
      <c r="M76">
        <f t="shared" si="9"/>
        <v>6.7777189409368637</v>
      </c>
      <c r="N76">
        <f t="shared" si="12"/>
        <v>4.1247017602903968</v>
      </c>
      <c r="O76">
        <f t="shared" si="13"/>
        <v>10398.57</v>
      </c>
      <c r="P76">
        <f t="shared" si="14"/>
        <v>-332786.00000000006</v>
      </c>
      <c r="Q76">
        <f t="shared" si="15"/>
        <v>2025</v>
      </c>
      <c r="R76">
        <f t="shared" si="16"/>
        <v>4</v>
      </c>
      <c r="S76">
        <f t="shared" si="17"/>
        <v>17.854545454545452</v>
      </c>
    </row>
    <row r="77" spans="1:19" x14ac:dyDescent="0.3">
      <c r="A77" t="s">
        <v>85</v>
      </c>
      <c r="B77" s="2">
        <v>45818</v>
      </c>
      <c r="C77" t="s">
        <v>514</v>
      </c>
      <c r="D77" t="s">
        <v>517</v>
      </c>
      <c r="E77">
        <v>4707.93</v>
      </c>
      <c r="F77">
        <v>5140.6000000000004</v>
      </c>
      <c r="G77">
        <v>94803</v>
      </c>
      <c r="H77">
        <v>2004</v>
      </c>
      <c r="I77">
        <v>320</v>
      </c>
      <c r="J77">
        <v>10173.74</v>
      </c>
      <c r="K77">
        <f t="shared" si="10"/>
        <v>2.1138571564191007</v>
      </c>
      <c r="L77">
        <f t="shared" si="11"/>
        <v>2.5651696606786429</v>
      </c>
      <c r="M77">
        <f t="shared" si="9"/>
        <v>16.064375000000002</v>
      </c>
      <c r="N77">
        <f t="shared" si="12"/>
        <v>1.9790958253900321</v>
      </c>
      <c r="O77">
        <f t="shared" si="13"/>
        <v>5033.1399999999994</v>
      </c>
      <c r="P77">
        <f t="shared" si="14"/>
        <v>-514060.00000000006</v>
      </c>
      <c r="Q77">
        <f t="shared" si="15"/>
        <v>2025</v>
      </c>
      <c r="R77">
        <f t="shared" si="16"/>
        <v>6</v>
      </c>
      <c r="S77">
        <f t="shared" si="17"/>
        <v>15.968063872255488</v>
      </c>
    </row>
    <row r="78" spans="1:19" x14ac:dyDescent="0.3">
      <c r="A78" t="s">
        <v>86</v>
      </c>
      <c r="B78" s="2">
        <v>45636</v>
      </c>
      <c r="C78" t="s">
        <v>512</v>
      </c>
      <c r="D78" t="s">
        <v>515</v>
      </c>
      <c r="E78">
        <v>9244.33</v>
      </c>
      <c r="F78">
        <v>9145.7999999999993</v>
      </c>
      <c r="G78">
        <v>55244</v>
      </c>
      <c r="H78">
        <v>2028</v>
      </c>
      <c r="I78">
        <v>320</v>
      </c>
      <c r="J78">
        <v>14030.19</v>
      </c>
      <c r="K78">
        <f t="shared" si="10"/>
        <v>3.6709868945043809</v>
      </c>
      <c r="L78">
        <f t="shared" si="11"/>
        <v>4.5097633136094668</v>
      </c>
      <c r="M78">
        <f t="shared" si="9"/>
        <v>28.580624999999998</v>
      </c>
      <c r="N78">
        <f t="shared" si="12"/>
        <v>1.5340582562487701</v>
      </c>
      <c r="O78">
        <f t="shared" si="13"/>
        <v>4884.3900000000012</v>
      </c>
      <c r="P78">
        <f t="shared" si="14"/>
        <v>-914579.99999999988</v>
      </c>
      <c r="Q78">
        <f t="shared" si="15"/>
        <v>2024</v>
      </c>
      <c r="R78">
        <f t="shared" si="16"/>
        <v>12</v>
      </c>
      <c r="S78">
        <f t="shared" si="17"/>
        <v>15.779092702169626</v>
      </c>
    </row>
    <row r="79" spans="1:19" x14ac:dyDescent="0.3">
      <c r="A79" t="s">
        <v>87</v>
      </c>
      <c r="B79" s="2">
        <v>45713</v>
      </c>
      <c r="C79" t="s">
        <v>510</v>
      </c>
      <c r="D79" t="s">
        <v>518</v>
      </c>
      <c r="E79">
        <v>6518.46</v>
      </c>
      <c r="F79">
        <v>6342.93</v>
      </c>
      <c r="G79">
        <v>103713</v>
      </c>
      <c r="H79">
        <v>2193</v>
      </c>
      <c r="I79">
        <v>165</v>
      </c>
      <c r="J79">
        <v>5737.96</v>
      </c>
      <c r="K79">
        <f t="shared" si="10"/>
        <v>2.1144890225911892</v>
      </c>
      <c r="L79">
        <f t="shared" si="11"/>
        <v>2.8923529411764708</v>
      </c>
      <c r="M79">
        <f t="shared" si="9"/>
        <v>38.442</v>
      </c>
      <c r="N79">
        <f t="shared" si="12"/>
        <v>0.9046229423941301</v>
      </c>
      <c r="O79">
        <f t="shared" si="13"/>
        <v>-604.97000000000025</v>
      </c>
      <c r="P79">
        <f t="shared" si="14"/>
        <v>-634293</v>
      </c>
      <c r="Q79">
        <f t="shared" si="15"/>
        <v>2025</v>
      </c>
      <c r="R79">
        <f t="shared" si="16"/>
        <v>2</v>
      </c>
      <c r="S79">
        <f t="shared" si="17"/>
        <v>7.5239398084815319</v>
      </c>
    </row>
    <row r="80" spans="1:19" x14ac:dyDescent="0.3">
      <c r="A80" t="s">
        <v>88</v>
      </c>
      <c r="B80" s="2">
        <v>45725</v>
      </c>
      <c r="C80" t="s">
        <v>510</v>
      </c>
      <c r="D80" t="s">
        <v>515</v>
      </c>
      <c r="E80">
        <v>4366.7</v>
      </c>
      <c r="F80">
        <v>4439.78</v>
      </c>
      <c r="G80">
        <v>110834</v>
      </c>
      <c r="H80">
        <v>4636</v>
      </c>
      <c r="I80">
        <v>797</v>
      </c>
      <c r="J80">
        <v>22653.27</v>
      </c>
      <c r="K80">
        <f t="shared" si="10"/>
        <v>4.1828319829655163</v>
      </c>
      <c r="L80">
        <f t="shared" si="11"/>
        <v>0.95767471958584982</v>
      </c>
      <c r="M80">
        <f t="shared" si="9"/>
        <v>5.5706148055207025</v>
      </c>
      <c r="N80">
        <f t="shared" si="12"/>
        <v>5.1023406565190168</v>
      </c>
      <c r="O80">
        <f t="shared" si="13"/>
        <v>18213.490000000002</v>
      </c>
      <c r="P80">
        <f t="shared" si="14"/>
        <v>-443977.99999999988</v>
      </c>
      <c r="Q80">
        <f t="shared" si="15"/>
        <v>2025</v>
      </c>
      <c r="R80">
        <f t="shared" si="16"/>
        <v>3</v>
      </c>
      <c r="S80">
        <f t="shared" si="17"/>
        <v>17.191544434857637</v>
      </c>
    </row>
    <row r="81" spans="1:19" x14ac:dyDescent="0.3">
      <c r="A81" t="s">
        <v>89</v>
      </c>
      <c r="B81" s="2">
        <v>45731</v>
      </c>
      <c r="C81" t="s">
        <v>511</v>
      </c>
      <c r="D81" t="s">
        <v>518</v>
      </c>
      <c r="E81">
        <v>3170.21</v>
      </c>
      <c r="F81">
        <v>3150.05</v>
      </c>
      <c r="G81">
        <v>122735</v>
      </c>
      <c r="H81">
        <v>2941</v>
      </c>
      <c r="I81">
        <v>274</v>
      </c>
      <c r="J81">
        <v>6935.85</v>
      </c>
      <c r="K81">
        <f t="shared" si="10"/>
        <v>2.3962194972909114</v>
      </c>
      <c r="L81">
        <f t="shared" si="11"/>
        <v>1.0710812648758927</v>
      </c>
      <c r="M81">
        <f t="shared" si="9"/>
        <v>11.496532846715329</v>
      </c>
      <c r="N81">
        <f t="shared" si="12"/>
        <v>2.2018221932985189</v>
      </c>
      <c r="O81">
        <f t="shared" si="13"/>
        <v>3785.8</v>
      </c>
      <c r="P81">
        <f t="shared" si="14"/>
        <v>-315005</v>
      </c>
      <c r="Q81">
        <f t="shared" si="15"/>
        <v>2025</v>
      </c>
      <c r="R81">
        <f t="shared" si="16"/>
        <v>3</v>
      </c>
      <c r="S81">
        <f t="shared" si="17"/>
        <v>9.316558993539612</v>
      </c>
    </row>
    <row r="82" spans="1:19" x14ac:dyDescent="0.3">
      <c r="A82" t="s">
        <v>90</v>
      </c>
      <c r="B82" s="2">
        <v>45671</v>
      </c>
      <c r="C82" t="s">
        <v>513</v>
      </c>
      <c r="D82" t="s">
        <v>518</v>
      </c>
      <c r="E82">
        <v>9583.2099999999991</v>
      </c>
      <c r="F82">
        <v>10409.08</v>
      </c>
      <c r="G82">
        <v>188008</v>
      </c>
      <c r="H82">
        <v>8592</v>
      </c>
      <c r="I82">
        <v>165</v>
      </c>
      <c r="J82">
        <v>7828.58</v>
      </c>
      <c r="K82">
        <f t="shared" si="10"/>
        <v>4.5700182970937409</v>
      </c>
      <c r="L82">
        <f t="shared" si="11"/>
        <v>1.2114851024208566</v>
      </c>
      <c r="M82">
        <f t="shared" si="9"/>
        <v>63.085333333333331</v>
      </c>
      <c r="N82">
        <f t="shared" si="12"/>
        <v>0.75209144323994048</v>
      </c>
      <c r="O82">
        <f t="shared" si="13"/>
        <v>-2580.5</v>
      </c>
      <c r="P82">
        <f t="shared" si="14"/>
        <v>-1040908</v>
      </c>
      <c r="Q82">
        <f t="shared" si="15"/>
        <v>2025</v>
      </c>
      <c r="R82">
        <f t="shared" si="16"/>
        <v>1</v>
      </c>
      <c r="S82">
        <f t="shared" si="17"/>
        <v>1.9203910614525139</v>
      </c>
    </row>
    <row r="83" spans="1:19" x14ac:dyDescent="0.3">
      <c r="A83" t="s">
        <v>91</v>
      </c>
      <c r="B83" s="2">
        <v>45706</v>
      </c>
      <c r="C83" t="s">
        <v>510</v>
      </c>
      <c r="D83" t="s">
        <v>518</v>
      </c>
      <c r="E83">
        <v>5591.11</v>
      </c>
      <c r="F83">
        <v>4498.8100000000004</v>
      </c>
      <c r="G83">
        <v>139883</v>
      </c>
      <c r="H83">
        <v>4226</v>
      </c>
      <c r="I83">
        <v>835</v>
      </c>
      <c r="J83">
        <v>39954.379999999997</v>
      </c>
      <c r="K83">
        <f t="shared" si="10"/>
        <v>3.0210962018258116</v>
      </c>
      <c r="L83">
        <f t="shared" si="11"/>
        <v>1.0645551348793185</v>
      </c>
      <c r="M83">
        <f t="shared" si="9"/>
        <v>5.387796407185629</v>
      </c>
      <c r="N83">
        <f t="shared" si="12"/>
        <v>8.8810996685790222</v>
      </c>
      <c r="O83">
        <f t="shared" si="13"/>
        <v>35455.57</v>
      </c>
      <c r="P83">
        <f t="shared" si="14"/>
        <v>-449880.99999999977</v>
      </c>
      <c r="Q83">
        <f t="shared" si="15"/>
        <v>2025</v>
      </c>
      <c r="R83">
        <f t="shared" si="16"/>
        <v>2</v>
      </c>
      <c r="S83">
        <f t="shared" si="17"/>
        <v>19.758637008991954</v>
      </c>
    </row>
    <row r="84" spans="1:19" x14ac:dyDescent="0.3">
      <c r="A84" t="s">
        <v>92</v>
      </c>
      <c r="B84" s="2">
        <v>45701</v>
      </c>
      <c r="C84" t="s">
        <v>513</v>
      </c>
      <c r="D84" t="s">
        <v>518</v>
      </c>
      <c r="E84">
        <v>5997.29</v>
      </c>
      <c r="F84">
        <v>6537.02</v>
      </c>
      <c r="G84">
        <v>138325</v>
      </c>
      <c r="H84">
        <v>4027</v>
      </c>
      <c r="I84">
        <v>453</v>
      </c>
      <c r="J84">
        <v>22155.599999999999</v>
      </c>
      <c r="K84">
        <f t="shared" si="10"/>
        <v>2.9112597144406291</v>
      </c>
      <c r="L84">
        <f t="shared" si="11"/>
        <v>1.6232977402532904</v>
      </c>
      <c r="M84">
        <f t="shared" si="9"/>
        <v>14.430507726269317</v>
      </c>
      <c r="N84">
        <f t="shared" si="12"/>
        <v>3.3892507595203925</v>
      </c>
      <c r="O84">
        <f t="shared" si="13"/>
        <v>15618.579999999998</v>
      </c>
      <c r="P84">
        <f t="shared" si="14"/>
        <v>-653702</v>
      </c>
      <c r="Q84">
        <f t="shared" si="15"/>
        <v>2025</v>
      </c>
      <c r="R84">
        <f t="shared" si="16"/>
        <v>2</v>
      </c>
      <c r="S84">
        <f t="shared" si="17"/>
        <v>11.249068785696547</v>
      </c>
    </row>
    <row r="85" spans="1:19" x14ac:dyDescent="0.3">
      <c r="A85" t="s">
        <v>93</v>
      </c>
      <c r="B85" s="2">
        <v>45763</v>
      </c>
      <c r="C85" t="s">
        <v>510</v>
      </c>
      <c r="D85" t="s">
        <v>518</v>
      </c>
      <c r="E85">
        <v>8971.07</v>
      </c>
      <c r="F85">
        <v>7969.31</v>
      </c>
      <c r="G85">
        <v>82264</v>
      </c>
      <c r="H85">
        <v>3537</v>
      </c>
      <c r="I85">
        <v>673</v>
      </c>
      <c r="J85">
        <v>21235.119999999999</v>
      </c>
      <c r="K85">
        <f t="shared" si="10"/>
        <v>4.2995721093066228</v>
      </c>
      <c r="L85">
        <f t="shared" si="11"/>
        <v>2.2531269437376307</v>
      </c>
      <c r="M85">
        <f t="shared" si="9"/>
        <v>11.841471025260031</v>
      </c>
      <c r="N85">
        <f t="shared" si="12"/>
        <v>2.6646121182385927</v>
      </c>
      <c r="O85">
        <f t="shared" si="13"/>
        <v>13265.809999999998</v>
      </c>
      <c r="P85">
        <f t="shared" si="14"/>
        <v>-796931.00000000012</v>
      </c>
      <c r="Q85">
        <f t="shared" si="15"/>
        <v>2025</v>
      </c>
      <c r="R85">
        <f t="shared" si="16"/>
        <v>4</v>
      </c>
      <c r="S85">
        <f t="shared" si="17"/>
        <v>19.027424370935822</v>
      </c>
    </row>
    <row r="86" spans="1:19" x14ac:dyDescent="0.3">
      <c r="A86" t="s">
        <v>94</v>
      </c>
      <c r="B86" s="2">
        <v>45642</v>
      </c>
      <c r="C86" t="s">
        <v>511</v>
      </c>
      <c r="D86" t="s">
        <v>515</v>
      </c>
      <c r="E86">
        <v>8957.9599999999991</v>
      </c>
      <c r="F86">
        <v>8018.06</v>
      </c>
      <c r="G86">
        <v>88706</v>
      </c>
      <c r="H86">
        <v>1251</v>
      </c>
      <c r="I86">
        <v>146</v>
      </c>
      <c r="J86">
        <v>3662.38</v>
      </c>
      <c r="K86">
        <f t="shared" si="10"/>
        <v>1.4102766441954322</v>
      </c>
      <c r="L86">
        <f t="shared" si="11"/>
        <v>6.4093205435651486</v>
      </c>
      <c r="M86">
        <f t="shared" si="9"/>
        <v>54.918219178082197</v>
      </c>
      <c r="N86">
        <f t="shared" si="12"/>
        <v>0.45676634996495413</v>
      </c>
      <c r="O86">
        <f t="shared" si="13"/>
        <v>-4355.68</v>
      </c>
      <c r="P86">
        <f t="shared" si="14"/>
        <v>-801806</v>
      </c>
      <c r="Q86">
        <f t="shared" si="15"/>
        <v>2024</v>
      </c>
      <c r="R86">
        <f t="shared" si="16"/>
        <v>12</v>
      </c>
      <c r="S86">
        <f t="shared" si="17"/>
        <v>11.670663469224621</v>
      </c>
    </row>
    <row r="87" spans="1:19" x14ac:dyDescent="0.3">
      <c r="A87" t="s">
        <v>95</v>
      </c>
      <c r="B87" s="2">
        <v>45693</v>
      </c>
      <c r="C87" t="s">
        <v>510</v>
      </c>
      <c r="D87" t="s">
        <v>517</v>
      </c>
      <c r="E87">
        <v>6897.61</v>
      </c>
      <c r="F87">
        <v>7455.26</v>
      </c>
      <c r="G87">
        <v>141755</v>
      </c>
      <c r="H87">
        <v>1695</v>
      </c>
      <c r="I87">
        <v>122</v>
      </c>
      <c r="J87">
        <v>4987.47</v>
      </c>
      <c r="K87">
        <f t="shared" si="10"/>
        <v>1.1957250185178654</v>
      </c>
      <c r="L87">
        <f t="shared" si="11"/>
        <v>4.3983834808259585</v>
      </c>
      <c r="M87">
        <f t="shared" si="9"/>
        <v>61.108688524590164</v>
      </c>
      <c r="N87">
        <f t="shared" si="12"/>
        <v>0.66898672883306554</v>
      </c>
      <c r="O87">
        <f t="shared" si="13"/>
        <v>-2467.79</v>
      </c>
      <c r="P87">
        <f t="shared" si="14"/>
        <v>-745526</v>
      </c>
      <c r="Q87">
        <f t="shared" si="15"/>
        <v>2025</v>
      </c>
      <c r="R87">
        <f t="shared" si="16"/>
        <v>2</v>
      </c>
      <c r="S87">
        <f t="shared" si="17"/>
        <v>7.1976401179941005</v>
      </c>
    </row>
    <row r="88" spans="1:19" x14ac:dyDescent="0.3">
      <c r="A88" t="s">
        <v>96</v>
      </c>
      <c r="B88" s="2">
        <v>45639</v>
      </c>
      <c r="C88" t="s">
        <v>512</v>
      </c>
      <c r="D88" t="s">
        <v>517</v>
      </c>
      <c r="E88">
        <v>6990.43</v>
      </c>
      <c r="F88">
        <v>5796.14</v>
      </c>
      <c r="G88">
        <v>97675</v>
      </c>
      <c r="H88">
        <v>4253</v>
      </c>
      <c r="I88">
        <v>420</v>
      </c>
      <c r="J88">
        <v>16149.09</v>
      </c>
      <c r="K88">
        <f t="shared" si="10"/>
        <v>4.354235986690556</v>
      </c>
      <c r="L88">
        <f t="shared" si="11"/>
        <v>1.3628356454267576</v>
      </c>
      <c r="M88">
        <f t="shared" si="9"/>
        <v>13.800333333333334</v>
      </c>
      <c r="N88">
        <f t="shared" si="12"/>
        <v>2.7861801129717363</v>
      </c>
      <c r="O88">
        <f t="shared" si="13"/>
        <v>10352.950000000001</v>
      </c>
      <c r="P88">
        <f t="shared" si="14"/>
        <v>-579614</v>
      </c>
      <c r="Q88">
        <f t="shared" si="15"/>
        <v>2024</v>
      </c>
      <c r="R88">
        <f t="shared" si="16"/>
        <v>12</v>
      </c>
      <c r="S88">
        <f t="shared" si="17"/>
        <v>9.8753820832353636</v>
      </c>
    </row>
    <row r="89" spans="1:19" x14ac:dyDescent="0.3">
      <c r="A89" t="s">
        <v>97</v>
      </c>
      <c r="B89" s="2">
        <v>45766</v>
      </c>
      <c r="C89" t="s">
        <v>514</v>
      </c>
      <c r="D89" t="s">
        <v>517</v>
      </c>
      <c r="E89">
        <v>9930.3799999999992</v>
      </c>
      <c r="F89">
        <v>8361.6299999999992</v>
      </c>
      <c r="G89">
        <v>155967</v>
      </c>
      <c r="H89">
        <v>1655</v>
      </c>
      <c r="I89">
        <v>74</v>
      </c>
      <c r="J89">
        <v>2630.69</v>
      </c>
      <c r="K89">
        <f t="shared" si="10"/>
        <v>1.0611219039925113</v>
      </c>
      <c r="L89">
        <f t="shared" si="11"/>
        <v>5.0523444108761328</v>
      </c>
      <c r="M89">
        <f t="shared" si="9"/>
        <v>112.99499999999999</v>
      </c>
      <c r="N89">
        <f t="shared" si="12"/>
        <v>0.31461449502070771</v>
      </c>
      <c r="O89">
        <f t="shared" si="13"/>
        <v>-5730.9399999999987</v>
      </c>
      <c r="P89">
        <f t="shared" si="14"/>
        <v>-836162.99999999988</v>
      </c>
      <c r="Q89">
        <f t="shared" si="15"/>
        <v>2025</v>
      </c>
      <c r="R89">
        <f t="shared" si="16"/>
        <v>4</v>
      </c>
      <c r="S89">
        <f t="shared" si="17"/>
        <v>4.4712990936555892</v>
      </c>
    </row>
    <row r="90" spans="1:19" x14ac:dyDescent="0.3">
      <c r="A90" t="s">
        <v>98</v>
      </c>
      <c r="B90" s="2">
        <v>45645</v>
      </c>
      <c r="C90" t="s">
        <v>512</v>
      </c>
      <c r="D90" t="s">
        <v>516</v>
      </c>
      <c r="E90">
        <v>9141.61</v>
      </c>
      <c r="F90">
        <v>9344.83</v>
      </c>
      <c r="G90">
        <v>154219</v>
      </c>
      <c r="H90">
        <v>2086</v>
      </c>
      <c r="I90">
        <v>249</v>
      </c>
      <c r="J90">
        <v>10186.709999999999</v>
      </c>
      <c r="K90">
        <f t="shared" si="10"/>
        <v>1.3526219207750017</v>
      </c>
      <c r="L90">
        <f t="shared" si="11"/>
        <v>4.4797842761265576</v>
      </c>
      <c r="M90">
        <f t="shared" si="9"/>
        <v>37.529437751004018</v>
      </c>
      <c r="N90">
        <f t="shared" si="12"/>
        <v>1.0900904564341993</v>
      </c>
      <c r="O90">
        <f t="shared" si="13"/>
        <v>841.8799999999992</v>
      </c>
      <c r="P90">
        <f t="shared" si="14"/>
        <v>-934483</v>
      </c>
      <c r="Q90">
        <f t="shared" si="15"/>
        <v>2024</v>
      </c>
      <c r="R90">
        <f t="shared" si="16"/>
        <v>12</v>
      </c>
      <c r="S90">
        <f t="shared" si="17"/>
        <v>11.936720997123681</v>
      </c>
    </row>
    <row r="91" spans="1:19" x14ac:dyDescent="0.3">
      <c r="A91" t="s">
        <v>99</v>
      </c>
      <c r="B91" s="2">
        <v>45784</v>
      </c>
      <c r="C91" t="s">
        <v>511</v>
      </c>
      <c r="D91" t="s">
        <v>515</v>
      </c>
      <c r="E91">
        <v>7917.39</v>
      </c>
      <c r="F91">
        <v>7187.78</v>
      </c>
      <c r="G91">
        <v>133842</v>
      </c>
      <c r="H91">
        <v>1394</v>
      </c>
      <c r="I91">
        <v>197</v>
      </c>
      <c r="J91">
        <v>5675.13</v>
      </c>
      <c r="K91">
        <f t="shared" si="10"/>
        <v>1.0415265761121322</v>
      </c>
      <c r="L91">
        <f t="shared" si="11"/>
        <v>5.1562266857962697</v>
      </c>
      <c r="M91">
        <f t="shared" si="9"/>
        <v>36.486192893401011</v>
      </c>
      <c r="N91">
        <f t="shared" si="12"/>
        <v>0.78955254612689874</v>
      </c>
      <c r="O91">
        <f t="shared" si="13"/>
        <v>-1512.6499999999996</v>
      </c>
      <c r="P91">
        <f t="shared" si="14"/>
        <v>-718778</v>
      </c>
      <c r="Q91">
        <f t="shared" si="15"/>
        <v>2025</v>
      </c>
      <c r="R91">
        <f t="shared" si="16"/>
        <v>5</v>
      </c>
      <c r="S91">
        <f t="shared" si="17"/>
        <v>14.131994261119083</v>
      </c>
    </row>
    <row r="92" spans="1:19" x14ac:dyDescent="0.3">
      <c r="A92" t="s">
        <v>100</v>
      </c>
      <c r="B92" s="2">
        <v>45662</v>
      </c>
      <c r="C92" t="s">
        <v>513</v>
      </c>
      <c r="D92" t="s">
        <v>517</v>
      </c>
      <c r="E92">
        <v>8665.5300000000007</v>
      </c>
      <c r="F92">
        <v>9038.44</v>
      </c>
      <c r="G92">
        <v>126153</v>
      </c>
      <c r="H92">
        <v>6045</v>
      </c>
      <c r="I92">
        <v>748</v>
      </c>
      <c r="J92">
        <v>34417.1</v>
      </c>
      <c r="K92">
        <f t="shared" si="10"/>
        <v>4.791800432807781</v>
      </c>
      <c r="L92">
        <f t="shared" si="11"/>
        <v>1.4951927212572376</v>
      </c>
      <c r="M92">
        <f t="shared" si="9"/>
        <v>12.083475935828877</v>
      </c>
      <c r="N92">
        <f t="shared" si="12"/>
        <v>3.8078584357477614</v>
      </c>
      <c r="O92">
        <f t="shared" si="13"/>
        <v>25378.659999999996</v>
      </c>
      <c r="P92">
        <f t="shared" si="14"/>
        <v>-903844.00000000023</v>
      </c>
      <c r="Q92">
        <f t="shared" si="15"/>
        <v>2025</v>
      </c>
      <c r="R92">
        <f t="shared" si="16"/>
        <v>1</v>
      </c>
      <c r="S92">
        <f t="shared" si="17"/>
        <v>12.373862696443341</v>
      </c>
    </row>
    <row r="93" spans="1:19" x14ac:dyDescent="0.3">
      <c r="A93" t="s">
        <v>101</v>
      </c>
      <c r="B93" s="2">
        <v>45642</v>
      </c>
      <c r="C93" t="s">
        <v>510</v>
      </c>
      <c r="D93" t="s">
        <v>516</v>
      </c>
      <c r="E93">
        <v>9392.68</v>
      </c>
      <c r="F93">
        <v>8955.01</v>
      </c>
      <c r="G93">
        <v>83386</v>
      </c>
      <c r="H93">
        <v>1255</v>
      </c>
      <c r="I93">
        <v>90</v>
      </c>
      <c r="J93">
        <v>3154.09</v>
      </c>
      <c r="K93">
        <f t="shared" si="10"/>
        <v>1.5050488091526155</v>
      </c>
      <c r="L93">
        <f t="shared" si="11"/>
        <v>7.1354661354581674</v>
      </c>
      <c r="M93">
        <f t="shared" si="9"/>
        <v>99.50011111111111</v>
      </c>
      <c r="N93">
        <f t="shared" si="12"/>
        <v>0.35221512873799138</v>
      </c>
      <c r="O93">
        <f t="shared" si="13"/>
        <v>-5800.92</v>
      </c>
      <c r="P93">
        <f t="shared" si="14"/>
        <v>-895501</v>
      </c>
      <c r="Q93">
        <f t="shared" si="15"/>
        <v>2024</v>
      </c>
      <c r="R93">
        <f t="shared" si="16"/>
        <v>12</v>
      </c>
      <c r="S93">
        <f t="shared" si="17"/>
        <v>7.1713147410358573</v>
      </c>
    </row>
    <row r="94" spans="1:19" x14ac:dyDescent="0.3">
      <c r="A94" t="s">
        <v>102</v>
      </c>
      <c r="B94" s="2">
        <v>45801</v>
      </c>
      <c r="C94" t="s">
        <v>513</v>
      </c>
      <c r="D94" t="s">
        <v>517</v>
      </c>
      <c r="E94">
        <v>8588.07</v>
      </c>
      <c r="F94">
        <v>8545.0400000000009</v>
      </c>
      <c r="G94">
        <v>137986</v>
      </c>
      <c r="H94">
        <v>6053</v>
      </c>
      <c r="I94">
        <v>403</v>
      </c>
      <c r="J94">
        <v>16546.78</v>
      </c>
      <c r="K94">
        <f t="shared" si="10"/>
        <v>4.3866769092516638</v>
      </c>
      <c r="L94">
        <f t="shared" si="11"/>
        <v>1.4117032876259707</v>
      </c>
      <c r="M94">
        <f t="shared" si="9"/>
        <v>21.203573200992558</v>
      </c>
      <c r="N94">
        <f t="shared" si="12"/>
        <v>1.9364192560830606</v>
      </c>
      <c r="O94">
        <f t="shared" si="13"/>
        <v>8001.739999999998</v>
      </c>
      <c r="P94">
        <f t="shared" si="14"/>
        <v>-854504.00000000012</v>
      </c>
      <c r="Q94">
        <f t="shared" si="15"/>
        <v>2025</v>
      </c>
      <c r="R94">
        <f t="shared" si="16"/>
        <v>5</v>
      </c>
      <c r="S94">
        <f t="shared" si="17"/>
        <v>6.6578556087890304</v>
      </c>
    </row>
    <row r="95" spans="1:19" x14ac:dyDescent="0.3">
      <c r="A95" t="s">
        <v>103</v>
      </c>
      <c r="B95" s="2">
        <v>45767</v>
      </c>
      <c r="C95" t="s">
        <v>511</v>
      </c>
      <c r="D95" t="s">
        <v>518</v>
      </c>
      <c r="E95">
        <v>8570.5499999999993</v>
      </c>
      <c r="F95">
        <v>9144.7900000000009</v>
      </c>
      <c r="G95">
        <v>103318</v>
      </c>
      <c r="H95">
        <v>2013</v>
      </c>
      <c r="I95">
        <v>80</v>
      </c>
      <c r="J95">
        <v>2411.19</v>
      </c>
      <c r="K95">
        <f t="shared" si="10"/>
        <v>1.948353626667183</v>
      </c>
      <c r="L95">
        <f t="shared" si="11"/>
        <v>4.5428663686040736</v>
      </c>
      <c r="M95">
        <f t="shared" si="9"/>
        <v>114.30987500000001</v>
      </c>
      <c r="N95">
        <f t="shared" si="12"/>
        <v>0.26366816515196084</v>
      </c>
      <c r="O95">
        <f t="shared" si="13"/>
        <v>-6733.6</v>
      </c>
      <c r="P95">
        <f t="shared" si="14"/>
        <v>-914479.00000000012</v>
      </c>
      <c r="Q95">
        <f t="shared" si="15"/>
        <v>2025</v>
      </c>
      <c r="R95">
        <f t="shared" si="16"/>
        <v>4</v>
      </c>
      <c r="S95">
        <f t="shared" si="17"/>
        <v>3.9741679085941382</v>
      </c>
    </row>
    <row r="96" spans="1:19" x14ac:dyDescent="0.3">
      <c r="A96" t="s">
        <v>104</v>
      </c>
      <c r="B96" s="2">
        <v>45779</v>
      </c>
      <c r="C96" t="s">
        <v>513</v>
      </c>
      <c r="D96" t="s">
        <v>516</v>
      </c>
      <c r="E96">
        <v>5629.08</v>
      </c>
      <c r="F96">
        <v>4661.97</v>
      </c>
      <c r="G96">
        <v>163071</v>
      </c>
      <c r="H96">
        <v>2665</v>
      </c>
      <c r="I96">
        <v>80</v>
      </c>
      <c r="J96">
        <v>2987.87</v>
      </c>
      <c r="K96">
        <f t="shared" si="10"/>
        <v>1.6342574706722839</v>
      </c>
      <c r="L96">
        <f t="shared" si="11"/>
        <v>1.7493320825515948</v>
      </c>
      <c r="M96">
        <f t="shared" si="9"/>
        <v>58.274625</v>
      </c>
      <c r="N96">
        <f t="shared" si="12"/>
        <v>0.64090288011291363</v>
      </c>
      <c r="O96">
        <f t="shared" si="13"/>
        <v>-1674.1000000000004</v>
      </c>
      <c r="P96">
        <f t="shared" si="14"/>
        <v>-466197</v>
      </c>
      <c r="Q96">
        <f t="shared" si="15"/>
        <v>2025</v>
      </c>
      <c r="R96">
        <f t="shared" si="16"/>
        <v>5</v>
      </c>
      <c r="S96">
        <f t="shared" si="17"/>
        <v>3.0018761726078798</v>
      </c>
    </row>
    <row r="97" spans="1:19" x14ac:dyDescent="0.3">
      <c r="A97" t="s">
        <v>105</v>
      </c>
      <c r="B97" s="2">
        <v>45813</v>
      </c>
      <c r="C97" t="s">
        <v>511</v>
      </c>
      <c r="D97" t="s">
        <v>517</v>
      </c>
      <c r="E97">
        <v>3251.6</v>
      </c>
      <c r="F97">
        <v>3055.46</v>
      </c>
      <c r="G97">
        <v>115973</v>
      </c>
      <c r="H97">
        <v>4194</v>
      </c>
      <c r="I97">
        <v>366</v>
      </c>
      <c r="J97">
        <v>13278.24</v>
      </c>
      <c r="K97">
        <f t="shared" si="10"/>
        <v>3.6163589801074392</v>
      </c>
      <c r="L97">
        <f t="shared" si="11"/>
        <v>0.72853123509775874</v>
      </c>
      <c r="M97">
        <f t="shared" si="9"/>
        <v>8.348251366120218</v>
      </c>
      <c r="N97">
        <f t="shared" si="12"/>
        <v>4.3457417213774683</v>
      </c>
      <c r="O97">
        <f t="shared" si="13"/>
        <v>10222.779999999999</v>
      </c>
      <c r="P97">
        <f t="shared" si="14"/>
        <v>-305546.00000000012</v>
      </c>
      <c r="Q97">
        <f t="shared" si="15"/>
        <v>2025</v>
      </c>
      <c r="R97">
        <f t="shared" si="16"/>
        <v>6</v>
      </c>
      <c r="S97">
        <f t="shared" si="17"/>
        <v>8.7267525035765381</v>
      </c>
    </row>
    <row r="98" spans="1:19" x14ac:dyDescent="0.3">
      <c r="A98" t="s">
        <v>106</v>
      </c>
      <c r="B98" s="2">
        <v>45742</v>
      </c>
      <c r="C98" t="s">
        <v>514</v>
      </c>
      <c r="D98" t="s">
        <v>516</v>
      </c>
      <c r="E98">
        <v>5005.79</v>
      </c>
      <c r="F98">
        <v>4891.91</v>
      </c>
      <c r="G98">
        <v>58155</v>
      </c>
      <c r="H98">
        <v>2713</v>
      </c>
      <c r="I98">
        <v>76</v>
      </c>
      <c r="J98">
        <v>1589.54</v>
      </c>
      <c r="K98">
        <f t="shared" si="10"/>
        <v>4.6651190783251657</v>
      </c>
      <c r="L98">
        <f t="shared" si="11"/>
        <v>1.8031367489863619</v>
      </c>
      <c r="M98">
        <f t="shared" si="9"/>
        <v>64.367236842105257</v>
      </c>
      <c r="N98">
        <f t="shared" si="12"/>
        <v>0.32493238837182203</v>
      </c>
      <c r="O98">
        <f t="shared" si="13"/>
        <v>-3302.37</v>
      </c>
      <c r="P98">
        <f t="shared" si="14"/>
        <v>-489191</v>
      </c>
      <c r="Q98">
        <f t="shared" si="15"/>
        <v>2025</v>
      </c>
      <c r="R98">
        <f t="shared" si="16"/>
        <v>3</v>
      </c>
      <c r="S98">
        <f t="shared" si="17"/>
        <v>2.801326944342057</v>
      </c>
    </row>
    <row r="99" spans="1:19" x14ac:dyDescent="0.3">
      <c r="A99" t="s">
        <v>107</v>
      </c>
      <c r="B99" s="2">
        <v>45668</v>
      </c>
      <c r="C99" t="s">
        <v>511</v>
      </c>
      <c r="D99" t="s">
        <v>518</v>
      </c>
      <c r="E99">
        <v>3261.44</v>
      </c>
      <c r="F99">
        <v>3414.01</v>
      </c>
      <c r="G99">
        <v>121100</v>
      </c>
      <c r="H99">
        <v>4154</v>
      </c>
      <c r="I99">
        <v>712</v>
      </c>
      <c r="J99">
        <v>21933.67</v>
      </c>
      <c r="K99">
        <f t="shared" si="10"/>
        <v>3.4302229562345166</v>
      </c>
      <c r="L99">
        <f t="shared" si="11"/>
        <v>0.82186085700529621</v>
      </c>
      <c r="M99">
        <f t="shared" si="9"/>
        <v>4.7949578651685396</v>
      </c>
      <c r="N99">
        <f t="shared" si="12"/>
        <v>6.4246062548147185</v>
      </c>
      <c r="O99">
        <f t="shared" si="13"/>
        <v>18519.659999999996</v>
      </c>
      <c r="P99">
        <f t="shared" si="14"/>
        <v>-341401.00000000023</v>
      </c>
      <c r="Q99">
        <f t="shared" si="15"/>
        <v>2025</v>
      </c>
      <c r="R99">
        <f t="shared" si="16"/>
        <v>1</v>
      </c>
      <c r="S99">
        <f t="shared" si="17"/>
        <v>17.140105922002888</v>
      </c>
    </row>
    <row r="100" spans="1:19" x14ac:dyDescent="0.3">
      <c r="A100" t="s">
        <v>108</v>
      </c>
      <c r="B100" s="2">
        <v>45791</v>
      </c>
      <c r="C100" t="s">
        <v>513</v>
      </c>
      <c r="D100" t="s">
        <v>518</v>
      </c>
      <c r="E100">
        <v>3889.42</v>
      </c>
      <c r="F100">
        <v>3720.9</v>
      </c>
      <c r="G100">
        <v>129730</v>
      </c>
      <c r="H100">
        <v>3017</v>
      </c>
      <c r="I100">
        <v>425</v>
      </c>
      <c r="J100">
        <v>18317.419999999998</v>
      </c>
      <c r="K100">
        <f t="shared" si="10"/>
        <v>2.3255993216680797</v>
      </c>
      <c r="L100">
        <f t="shared" si="11"/>
        <v>1.2333112363274776</v>
      </c>
      <c r="M100">
        <f t="shared" si="9"/>
        <v>8.7550588235294118</v>
      </c>
      <c r="N100">
        <f t="shared" si="12"/>
        <v>4.9228466231288124</v>
      </c>
      <c r="O100">
        <f t="shared" si="13"/>
        <v>14596.519999999999</v>
      </c>
      <c r="P100">
        <f t="shared" si="14"/>
        <v>-372089.99999999994</v>
      </c>
      <c r="Q100">
        <f t="shared" si="15"/>
        <v>2025</v>
      </c>
      <c r="R100">
        <f t="shared" si="16"/>
        <v>5</v>
      </c>
      <c r="S100">
        <f t="shared" si="17"/>
        <v>14.086841233012926</v>
      </c>
    </row>
    <row r="101" spans="1:19" x14ac:dyDescent="0.3">
      <c r="A101" t="s">
        <v>109</v>
      </c>
      <c r="B101" s="2">
        <v>45720</v>
      </c>
      <c r="C101" t="s">
        <v>510</v>
      </c>
      <c r="D101" t="s">
        <v>515</v>
      </c>
      <c r="E101">
        <v>4510.75</v>
      </c>
      <c r="F101">
        <v>4451.51</v>
      </c>
      <c r="G101">
        <v>51577</v>
      </c>
      <c r="H101">
        <v>1434</v>
      </c>
      <c r="I101">
        <v>154</v>
      </c>
      <c r="J101">
        <v>3474.31</v>
      </c>
      <c r="K101">
        <f t="shared" si="10"/>
        <v>2.7803090524846348</v>
      </c>
      <c r="L101">
        <f t="shared" si="11"/>
        <v>3.1042608089260812</v>
      </c>
      <c r="M101">
        <f t="shared" si="9"/>
        <v>28.905909090909091</v>
      </c>
      <c r="N101">
        <f t="shared" si="12"/>
        <v>0.78047898353592371</v>
      </c>
      <c r="O101">
        <f t="shared" si="13"/>
        <v>-977.20000000000027</v>
      </c>
      <c r="P101">
        <f t="shared" si="14"/>
        <v>-445151</v>
      </c>
      <c r="Q101">
        <f t="shared" si="15"/>
        <v>2025</v>
      </c>
      <c r="R101">
        <f t="shared" si="16"/>
        <v>3</v>
      </c>
      <c r="S101">
        <f t="shared" si="17"/>
        <v>10.739191073919107</v>
      </c>
    </row>
    <row r="102" spans="1:19" x14ac:dyDescent="0.3">
      <c r="A102" t="s">
        <v>110</v>
      </c>
      <c r="B102" s="2">
        <v>45698</v>
      </c>
      <c r="C102" t="s">
        <v>510</v>
      </c>
      <c r="D102" t="s">
        <v>515</v>
      </c>
      <c r="E102">
        <v>3361.77</v>
      </c>
      <c r="F102">
        <v>3225.3</v>
      </c>
      <c r="G102">
        <v>147591</v>
      </c>
      <c r="H102">
        <v>4755</v>
      </c>
      <c r="I102">
        <v>277</v>
      </c>
      <c r="J102">
        <v>10032.68</v>
      </c>
      <c r="K102">
        <f t="shared" si="10"/>
        <v>3.2217411630790496</v>
      </c>
      <c r="L102">
        <f t="shared" si="11"/>
        <v>0.67829652996845424</v>
      </c>
      <c r="M102">
        <f t="shared" si="9"/>
        <v>11.643682310469314</v>
      </c>
      <c r="N102">
        <f t="shared" si="12"/>
        <v>3.1106191672092516</v>
      </c>
      <c r="O102">
        <f t="shared" si="13"/>
        <v>6807.38</v>
      </c>
      <c r="P102">
        <f t="shared" si="14"/>
        <v>-322530</v>
      </c>
      <c r="Q102">
        <f t="shared" si="15"/>
        <v>2025</v>
      </c>
      <c r="R102">
        <f t="shared" si="16"/>
        <v>2</v>
      </c>
      <c r="S102">
        <f t="shared" si="17"/>
        <v>5.8254468980021032</v>
      </c>
    </row>
    <row r="103" spans="1:19" x14ac:dyDescent="0.3">
      <c r="A103" t="s">
        <v>111</v>
      </c>
      <c r="B103" s="2">
        <v>45668</v>
      </c>
      <c r="C103" t="s">
        <v>513</v>
      </c>
      <c r="D103" t="s">
        <v>517</v>
      </c>
      <c r="E103">
        <v>7462.01</v>
      </c>
      <c r="F103">
        <v>7595.04</v>
      </c>
      <c r="G103">
        <v>189630</v>
      </c>
      <c r="H103">
        <v>2389</v>
      </c>
      <c r="I103">
        <v>268</v>
      </c>
      <c r="J103">
        <v>13205.85</v>
      </c>
      <c r="K103">
        <f t="shared" si="10"/>
        <v>1.2598217581606286</v>
      </c>
      <c r="L103">
        <f t="shared" si="11"/>
        <v>3.1791712013394724</v>
      </c>
      <c r="M103">
        <f t="shared" si="9"/>
        <v>28.339701492537312</v>
      </c>
      <c r="N103">
        <f t="shared" si="12"/>
        <v>1.7387466030461987</v>
      </c>
      <c r="O103">
        <f t="shared" si="13"/>
        <v>5610.81</v>
      </c>
      <c r="P103">
        <f t="shared" si="14"/>
        <v>-759504</v>
      </c>
      <c r="Q103">
        <f t="shared" si="15"/>
        <v>2025</v>
      </c>
      <c r="R103">
        <f t="shared" si="16"/>
        <v>1</v>
      </c>
      <c r="S103">
        <f t="shared" si="17"/>
        <v>11.218082879866053</v>
      </c>
    </row>
    <row r="104" spans="1:19" x14ac:dyDescent="0.3">
      <c r="A104" t="s">
        <v>112</v>
      </c>
      <c r="B104" s="2">
        <v>45709</v>
      </c>
      <c r="C104" t="s">
        <v>514</v>
      </c>
      <c r="D104" t="s">
        <v>515</v>
      </c>
      <c r="E104">
        <v>6614.1</v>
      </c>
      <c r="F104">
        <v>5932.1</v>
      </c>
      <c r="G104">
        <v>175761</v>
      </c>
      <c r="H104">
        <v>4515</v>
      </c>
      <c r="I104">
        <v>649</v>
      </c>
      <c r="J104">
        <v>28462.28</v>
      </c>
      <c r="K104">
        <f t="shared" si="10"/>
        <v>2.5688292624643694</v>
      </c>
      <c r="L104">
        <f t="shared" si="11"/>
        <v>1.3138648947951275</v>
      </c>
      <c r="M104">
        <f t="shared" si="9"/>
        <v>9.1403697996918343</v>
      </c>
      <c r="N104">
        <f t="shared" si="12"/>
        <v>4.7980108224743336</v>
      </c>
      <c r="O104">
        <f t="shared" si="13"/>
        <v>22530.18</v>
      </c>
      <c r="P104">
        <f t="shared" si="14"/>
        <v>-593209.99999999988</v>
      </c>
      <c r="Q104">
        <f t="shared" si="15"/>
        <v>2025</v>
      </c>
      <c r="R104">
        <f t="shared" si="16"/>
        <v>2</v>
      </c>
      <c r="S104">
        <f t="shared" si="17"/>
        <v>14.374307862679956</v>
      </c>
    </row>
    <row r="105" spans="1:19" x14ac:dyDescent="0.3">
      <c r="A105" t="s">
        <v>113</v>
      </c>
      <c r="B105" s="2">
        <v>45690</v>
      </c>
      <c r="C105" t="s">
        <v>513</v>
      </c>
      <c r="D105" t="s">
        <v>515</v>
      </c>
      <c r="E105">
        <v>4895.83</v>
      </c>
      <c r="F105">
        <v>4561.3999999999996</v>
      </c>
      <c r="G105">
        <v>151629</v>
      </c>
      <c r="H105">
        <v>4739</v>
      </c>
      <c r="I105">
        <v>583</v>
      </c>
      <c r="J105">
        <v>13032.2</v>
      </c>
      <c r="K105">
        <f t="shared" si="10"/>
        <v>3.1253915807662125</v>
      </c>
      <c r="L105">
        <f t="shared" si="11"/>
        <v>0.96252373918548206</v>
      </c>
      <c r="M105">
        <f t="shared" si="9"/>
        <v>7.8240137221269288</v>
      </c>
      <c r="N105">
        <f t="shared" si="12"/>
        <v>2.8570614285087914</v>
      </c>
      <c r="O105">
        <f t="shared" si="13"/>
        <v>8470.8000000000011</v>
      </c>
      <c r="P105">
        <f t="shared" si="14"/>
        <v>-456139.99999999994</v>
      </c>
      <c r="Q105">
        <f t="shared" si="15"/>
        <v>2025</v>
      </c>
      <c r="R105">
        <f t="shared" si="16"/>
        <v>2</v>
      </c>
      <c r="S105">
        <f t="shared" si="17"/>
        <v>12.302173454315255</v>
      </c>
    </row>
    <row r="106" spans="1:19" x14ac:dyDescent="0.3">
      <c r="A106" t="s">
        <v>114</v>
      </c>
      <c r="B106" s="2">
        <v>45805</v>
      </c>
      <c r="C106" t="s">
        <v>512</v>
      </c>
      <c r="D106" t="s">
        <v>518</v>
      </c>
      <c r="E106">
        <v>3177.46</v>
      </c>
      <c r="F106">
        <v>3459.6</v>
      </c>
      <c r="G106">
        <v>120702</v>
      </c>
      <c r="H106">
        <v>2467</v>
      </c>
      <c r="I106">
        <v>288</v>
      </c>
      <c r="J106">
        <v>12982.87</v>
      </c>
      <c r="K106">
        <f t="shared" si="10"/>
        <v>2.0438766549021556</v>
      </c>
      <c r="L106">
        <f t="shared" si="11"/>
        <v>1.4023510336441021</v>
      </c>
      <c r="M106">
        <f t="shared" si="9"/>
        <v>12.012499999999999</v>
      </c>
      <c r="N106">
        <f t="shared" si="12"/>
        <v>3.7527084055960231</v>
      </c>
      <c r="O106">
        <f t="shared" si="13"/>
        <v>9523.27</v>
      </c>
      <c r="P106">
        <f t="shared" si="14"/>
        <v>-345960.00000000006</v>
      </c>
      <c r="Q106">
        <f t="shared" si="15"/>
        <v>2025</v>
      </c>
      <c r="R106">
        <f t="shared" si="16"/>
        <v>5</v>
      </c>
      <c r="S106">
        <f t="shared" si="17"/>
        <v>11.674098094852047</v>
      </c>
    </row>
    <row r="107" spans="1:19" x14ac:dyDescent="0.3">
      <c r="A107" t="s">
        <v>115</v>
      </c>
      <c r="B107" s="2">
        <v>45752</v>
      </c>
      <c r="C107" t="s">
        <v>510</v>
      </c>
      <c r="D107" t="s">
        <v>518</v>
      </c>
      <c r="E107">
        <v>7871.82</v>
      </c>
      <c r="F107">
        <v>7263.22</v>
      </c>
      <c r="G107">
        <v>176077</v>
      </c>
      <c r="H107">
        <v>2054</v>
      </c>
      <c r="I107">
        <v>402</v>
      </c>
      <c r="J107">
        <v>10129.93</v>
      </c>
      <c r="K107">
        <f t="shared" si="10"/>
        <v>1.166535095441199</v>
      </c>
      <c r="L107">
        <f t="shared" si="11"/>
        <v>3.5361343719571567</v>
      </c>
      <c r="M107">
        <f t="shared" si="9"/>
        <v>18.06771144278607</v>
      </c>
      <c r="N107">
        <f t="shared" si="12"/>
        <v>1.3946885816483598</v>
      </c>
      <c r="O107">
        <f t="shared" si="13"/>
        <v>2866.71</v>
      </c>
      <c r="P107">
        <f t="shared" si="14"/>
        <v>-726322</v>
      </c>
      <c r="Q107">
        <f t="shared" si="15"/>
        <v>2025</v>
      </c>
      <c r="R107">
        <f t="shared" si="16"/>
        <v>4</v>
      </c>
      <c r="S107">
        <f t="shared" si="17"/>
        <v>19.571567672833496</v>
      </c>
    </row>
    <row r="108" spans="1:19" x14ac:dyDescent="0.3">
      <c r="A108" t="s">
        <v>116</v>
      </c>
      <c r="B108" s="2">
        <v>45774</v>
      </c>
      <c r="C108" t="s">
        <v>514</v>
      </c>
      <c r="D108" t="s">
        <v>516</v>
      </c>
      <c r="E108">
        <v>4095.06</v>
      </c>
      <c r="F108">
        <v>3583.48</v>
      </c>
      <c r="G108">
        <v>134667</v>
      </c>
      <c r="H108">
        <v>4062</v>
      </c>
      <c r="I108">
        <v>556</v>
      </c>
      <c r="J108">
        <v>20281.099999999999</v>
      </c>
      <c r="K108">
        <f t="shared" si="10"/>
        <v>3.0163291675020609</v>
      </c>
      <c r="L108">
        <f t="shared" si="11"/>
        <v>0.88219596258000987</v>
      </c>
      <c r="M108">
        <f t="shared" si="9"/>
        <v>6.445107913669065</v>
      </c>
      <c r="N108">
        <f t="shared" si="12"/>
        <v>5.6596102113029785</v>
      </c>
      <c r="O108">
        <f t="shared" si="13"/>
        <v>16697.62</v>
      </c>
      <c r="P108">
        <f t="shared" si="14"/>
        <v>-358347.99999999994</v>
      </c>
      <c r="Q108">
        <f t="shared" si="15"/>
        <v>2025</v>
      </c>
      <c r="R108">
        <f t="shared" si="16"/>
        <v>4</v>
      </c>
      <c r="S108">
        <f t="shared" si="17"/>
        <v>13.687838503200394</v>
      </c>
    </row>
    <row r="109" spans="1:19" x14ac:dyDescent="0.3">
      <c r="A109" t="s">
        <v>117</v>
      </c>
      <c r="B109" s="2">
        <v>45716</v>
      </c>
      <c r="C109" t="s">
        <v>513</v>
      </c>
      <c r="D109" t="s">
        <v>517</v>
      </c>
      <c r="E109">
        <v>8002.17</v>
      </c>
      <c r="F109">
        <v>7986.64</v>
      </c>
      <c r="G109">
        <v>178492</v>
      </c>
      <c r="H109">
        <v>2018</v>
      </c>
      <c r="I109">
        <v>385</v>
      </c>
      <c r="J109">
        <v>10933.24</v>
      </c>
      <c r="K109">
        <f t="shared" si="10"/>
        <v>1.1305828832664768</v>
      </c>
      <c r="L109">
        <f t="shared" si="11"/>
        <v>3.9577006937561943</v>
      </c>
      <c r="M109">
        <f t="shared" si="9"/>
        <v>20.744519480519482</v>
      </c>
      <c r="N109">
        <f t="shared" si="12"/>
        <v>1.368941131689922</v>
      </c>
      <c r="O109">
        <f t="shared" si="13"/>
        <v>2946.5999999999995</v>
      </c>
      <c r="P109">
        <f t="shared" si="14"/>
        <v>-798664</v>
      </c>
      <c r="Q109">
        <f t="shared" si="15"/>
        <v>2025</v>
      </c>
      <c r="R109">
        <f t="shared" si="16"/>
        <v>2</v>
      </c>
      <c r="S109">
        <f t="shared" si="17"/>
        <v>19.078295341922697</v>
      </c>
    </row>
    <row r="110" spans="1:19" x14ac:dyDescent="0.3">
      <c r="A110" t="s">
        <v>118</v>
      </c>
      <c r="B110" s="2">
        <v>45775</v>
      </c>
      <c r="C110" t="s">
        <v>512</v>
      </c>
      <c r="D110" t="s">
        <v>517</v>
      </c>
      <c r="E110">
        <v>9684.06</v>
      </c>
      <c r="F110">
        <v>9891</v>
      </c>
      <c r="G110">
        <v>145812</v>
      </c>
      <c r="H110">
        <v>2588</v>
      </c>
      <c r="I110">
        <v>340</v>
      </c>
      <c r="J110">
        <v>12454.41</v>
      </c>
      <c r="K110">
        <f t="shared" si="10"/>
        <v>1.7748882122184733</v>
      </c>
      <c r="L110">
        <f t="shared" si="11"/>
        <v>3.821870170015456</v>
      </c>
      <c r="M110">
        <f t="shared" si="9"/>
        <v>29.091176470588234</v>
      </c>
      <c r="N110">
        <f t="shared" si="12"/>
        <v>1.2591659084015772</v>
      </c>
      <c r="O110">
        <f t="shared" si="13"/>
        <v>2563.41</v>
      </c>
      <c r="P110">
        <f t="shared" si="14"/>
        <v>-989100</v>
      </c>
      <c r="Q110">
        <f t="shared" si="15"/>
        <v>2025</v>
      </c>
      <c r="R110">
        <f t="shared" si="16"/>
        <v>4</v>
      </c>
      <c r="S110">
        <f t="shared" si="17"/>
        <v>13.137557959814528</v>
      </c>
    </row>
    <row r="111" spans="1:19" x14ac:dyDescent="0.3">
      <c r="A111" t="s">
        <v>119</v>
      </c>
      <c r="B111" s="2">
        <v>45810</v>
      </c>
      <c r="C111" t="s">
        <v>512</v>
      </c>
      <c r="D111" t="s">
        <v>515</v>
      </c>
      <c r="E111">
        <v>7282.05</v>
      </c>
      <c r="F111">
        <v>6742.3</v>
      </c>
      <c r="G111">
        <v>186329</v>
      </c>
      <c r="H111">
        <v>2426</v>
      </c>
      <c r="I111">
        <v>475</v>
      </c>
      <c r="J111">
        <v>13030.17</v>
      </c>
      <c r="K111">
        <f t="shared" si="10"/>
        <v>1.3019980786673035</v>
      </c>
      <c r="L111">
        <f t="shared" si="11"/>
        <v>2.7791838417147567</v>
      </c>
      <c r="M111">
        <f t="shared" si="9"/>
        <v>14.194315789473684</v>
      </c>
      <c r="N111">
        <f t="shared" si="12"/>
        <v>1.9326001512836866</v>
      </c>
      <c r="O111">
        <f t="shared" si="13"/>
        <v>6287.87</v>
      </c>
      <c r="P111">
        <f t="shared" si="14"/>
        <v>-674230</v>
      </c>
      <c r="Q111">
        <f t="shared" si="15"/>
        <v>2025</v>
      </c>
      <c r="R111">
        <f t="shared" si="16"/>
        <v>6</v>
      </c>
      <c r="S111">
        <f t="shared" si="17"/>
        <v>19.579554822753504</v>
      </c>
    </row>
    <row r="112" spans="1:19" x14ac:dyDescent="0.3">
      <c r="A112" t="s">
        <v>120</v>
      </c>
      <c r="B112" s="2">
        <v>45640</v>
      </c>
      <c r="C112" t="s">
        <v>513</v>
      </c>
      <c r="D112" t="s">
        <v>517</v>
      </c>
      <c r="E112">
        <v>5491.81</v>
      </c>
      <c r="F112">
        <v>5642.03</v>
      </c>
      <c r="G112">
        <v>147883</v>
      </c>
      <c r="H112">
        <v>1463</v>
      </c>
      <c r="I112">
        <v>163</v>
      </c>
      <c r="J112">
        <v>3330.38</v>
      </c>
      <c r="K112">
        <f t="shared" si="10"/>
        <v>0.98929559178539783</v>
      </c>
      <c r="L112">
        <f t="shared" si="11"/>
        <v>3.85647983595352</v>
      </c>
      <c r="M112">
        <f t="shared" si="9"/>
        <v>34.613680981595088</v>
      </c>
      <c r="N112">
        <f t="shared" si="12"/>
        <v>0.59028044870374674</v>
      </c>
      <c r="O112">
        <f t="shared" si="13"/>
        <v>-2311.6499999999996</v>
      </c>
      <c r="P112">
        <f t="shared" si="14"/>
        <v>-564203</v>
      </c>
      <c r="Q112">
        <f t="shared" si="15"/>
        <v>2024</v>
      </c>
      <c r="R112">
        <f t="shared" si="16"/>
        <v>12</v>
      </c>
      <c r="S112">
        <f t="shared" si="17"/>
        <v>11.141490088858511</v>
      </c>
    </row>
    <row r="113" spans="1:19" x14ac:dyDescent="0.3">
      <c r="A113" t="s">
        <v>121</v>
      </c>
      <c r="B113" s="2">
        <v>45807</v>
      </c>
      <c r="C113" t="s">
        <v>512</v>
      </c>
      <c r="D113" t="s">
        <v>515</v>
      </c>
      <c r="E113">
        <v>3812.51</v>
      </c>
      <c r="F113">
        <v>3102.62</v>
      </c>
      <c r="G113">
        <v>134164</v>
      </c>
      <c r="H113">
        <v>3192</v>
      </c>
      <c r="I113">
        <v>339</v>
      </c>
      <c r="J113">
        <v>7194.21</v>
      </c>
      <c r="K113">
        <f t="shared" si="10"/>
        <v>2.3791777227870368</v>
      </c>
      <c r="L113">
        <f t="shared" si="11"/>
        <v>0.97199874686716792</v>
      </c>
      <c r="M113">
        <f t="shared" si="9"/>
        <v>9.1522713864306784</v>
      </c>
      <c r="N113">
        <f t="shared" si="12"/>
        <v>2.318753182793897</v>
      </c>
      <c r="O113">
        <f t="shared" si="13"/>
        <v>4091.59</v>
      </c>
      <c r="P113">
        <f t="shared" si="14"/>
        <v>-310262</v>
      </c>
      <c r="Q113">
        <f t="shared" si="15"/>
        <v>2025</v>
      </c>
      <c r="R113">
        <f t="shared" si="16"/>
        <v>5</v>
      </c>
      <c r="S113">
        <f t="shared" si="17"/>
        <v>10.6203007518797</v>
      </c>
    </row>
    <row r="114" spans="1:19" x14ac:dyDescent="0.3">
      <c r="A114" t="s">
        <v>122</v>
      </c>
      <c r="B114" s="2">
        <v>45639</v>
      </c>
      <c r="C114" t="s">
        <v>510</v>
      </c>
      <c r="D114" t="s">
        <v>515</v>
      </c>
      <c r="E114">
        <v>8988.2199999999993</v>
      </c>
      <c r="F114">
        <v>9087.9699999999993</v>
      </c>
      <c r="G114">
        <v>127750</v>
      </c>
      <c r="H114">
        <v>5551</v>
      </c>
      <c r="I114">
        <v>393</v>
      </c>
      <c r="J114">
        <v>13450.51</v>
      </c>
      <c r="K114">
        <f t="shared" si="10"/>
        <v>4.3452054794520549</v>
      </c>
      <c r="L114">
        <f t="shared" si="11"/>
        <v>1.6371770852098719</v>
      </c>
      <c r="M114">
        <f t="shared" si="9"/>
        <v>23.124605597964376</v>
      </c>
      <c r="N114">
        <f t="shared" si="12"/>
        <v>1.4800345951846232</v>
      </c>
      <c r="O114">
        <f t="shared" si="13"/>
        <v>4362.5400000000009</v>
      </c>
      <c r="P114">
        <f t="shared" si="14"/>
        <v>-908796.99999999988</v>
      </c>
      <c r="Q114">
        <f t="shared" si="15"/>
        <v>2024</v>
      </c>
      <c r="R114">
        <f t="shared" si="16"/>
        <v>12</v>
      </c>
      <c r="S114">
        <f t="shared" si="17"/>
        <v>7.079805440461179</v>
      </c>
    </row>
    <row r="115" spans="1:19" x14ac:dyDescent="0.3">
      <c r="A115" t="s">
        <v>123</v>
      </c>
      <c r="B115" s="2">
        <v>45639</v>
      </c>
      <c r="C115" t="s">
        <v>513</v>
      </c>
      <c r="D115" t="s">
        <v>518</v>
      </c>
      <c r="E115">
        <v>3684.84</v>
      </c>
      <c r="F115">
        <v>3491.33</v>
      </c>
      <c r="G115">
        <v>99153</v>
      </c>
      <c r="H115">
        <v>2036</v>
      </c>
      <c r="I115">
        <v>382</v>
      </c>
      <c r="J115">
        <v>13065.99</v>
      </c>
      <c r="K115">
        <f t="shared" si="10"/>
        <v>2.0533922322067912</v>
      </c>
      <c r="L115">
        <f t="shared" si="11"/>
        <v>1.7147986247544205</v>
      </c>
      <c r="M115">
        <f t="shared" si="9"/>
        <v>9.1396073298429314</v>
      </c>
      <c r="N115">
        <f t="shared" si="12"/>
        <v>3.7424104854024112</v>
      </c>
      <c r="O115">
        <f t="shared" si="13"/>
        <v>9574.66</v>
      </c>
      <c r="P115">
        <f t="shared" si="14"/>
        <v>-349133</v>
      </c>
      <c r="Q115">
        <f t="shared" si="15"/>
        <v>2024</v>
      </c>
      <c r="R115">
        <f t="shared" si="16"/>
        <v>12</v>
      </c>
      <c r="S115">
        <f t="shared" si="17"/>
        <v>18.762278978388998</v>
      </c>
    </row>
    <row r="116" spans="1:19" x14ac:dyDescent="0.3">
      <c r="A116" t="s">
        <v>124</v>
      </c>
      <c r="B116" s="2">
        <v>45754</v>
      </c>
      <c r="C116" t="s">
        <v>513</v>
      </c>
      <c r="D116" t="s">
        <v>518</v>
      </c>
      <c r="E116">
        <v>4212.41</v>
      </c>
      <c r="F116">
        <v>3918.2</v>
      </c>
      <c r="G116">
        <v>171690</v>
      </c>
      <c r="H116">
        <v>1892</v>
      </c>
      <c r="I116">
        <v>232</v>
      </c>
      <c r="J116">
        <v>7413.59</v>
      </c>
      <c r="K116">
        <f t="shared" si="10"/>
        <v>1.1019861378065119</v>
      </c>
      <c r="L116">
        <f t="shared" si="11"/>
        <v>2.0709302325581396</v>
      </c>
      <c r="M116">
        <f t="shared" si="9"/>
        <v>16.888793103448275</v>
      </c>
      <c r="N116">
        <f t="shared" si="12"/>
        <v>1.8920907559593692</v>
      </c>
      <c r="O116">
        <f t="shared" si="13"/>
        <v>3495.3900000000003</v>
      </c>
      <c r="P116">
        <f t="shared" si="14"/>
        <v>-391820</v>
      </c>
      <c r="Q116">
        <f t="shared" si="15"/>
        <v>2025</v>
      </c>
      <c r="R116">
        <f t="shared" si="16"/>
        <v>4</v>
      </c>
      <c r="S116">
        <f t="shared" si="17"/>
        <v>12.26215644820296</v>
      </c>
    </row>
    <row r="117" spans="1:19" x14ac:dyDescent="0.3">
      <c r="A117" t="s">
        <v>125</v>
      </c>
      <c r="B117" s="2">
        <v>45667</v>
      </c>
      <c r="C117" t="s">
        <v>512</v>
      </c>
      <c r="D117" t="s">
        <v>518</v>
      </c>
      <c r="E117">
        <v>7310.95</v>
      </c>
      <c r="F117">
        <v>7241.7</v>
      </c>
      <c r="G117">
        <v>196304</v>
      </c>
      <c r="H117">
        <v>8710</v>
      </c>
      <c r="I117">
        <v>965</v>
      </c>
      <c r="J117">
        <v>20611.55</v>
      </c>
      <c r="K117">
        <f t="shared" si="10"/>
        <v>4.4369956801695327</v>
      </c>
      <c r="L117">
        <f t="shared" si="11"/>
        <v>0.83142365097588977</v>
      </c>
      <c r="M117">
        <f t="shared" si="9"/>
        <v>7.5043523316062171</v>
      </c>
      <c r="N117">
        <f t="shared" si="12"/>
        <v>2.846230857395363</v>
      </c>
      <c r="O117">
        <f t="shared" si="13"/>
        <v>13369.849999999999</v>
      </c>
      <c r="P117">
        <f t="shared" si="14"/>
        <v>-724170.00000000012</v>
      </c>
      <c r="Q117">
        <f t="shared" si="15"/>
        <v>2025</v>
      </c>
      <c r="R117">
        <f t="shared" si="16"/>
        <v>1</v>
      </c>
      <c r="S117">
        <f t="shared" si="17"/>
        <v>11.079219288174512</v>
      </c>
    </row>
    <row r="118" spans="1:19" x14ac:dyDescent="0.3">
      <c r="A118" t="s">
        <v>126</v>
      </c>
      <c r="B118" s="2">
        <v>45735</v>
      </c>
      <c r="C118" t="s">
        <v>513</v>
      </c>
      <c r="D118" t="s">
        <v>518</v>
      </c>
      <c r="E118">
        <v>5622.29</v>
      </c>
      <c r="F118">
        <v>5553.46</v>
      </c>
      <c r="G118">
        <v>184625</v>
      </c>
      <c r="H118">
        <v>5858</v>
      </c>
      <c r="I118">
        <v>179</v>
      </c>
      <c r="J118">
        <v>6281.84</v>
      </c>
      <c r="K118">
        <f t="shared" si="10"/>
        <v>3.1729180771834802</v>
      </c>
      <c r="L118">
        <f t="shared" si="11"/>
        <v>0.94801297371116422</v>
      </c>
      <c r="M118">
        <f t="shared" si="9"/>
        <v>31.024916201117318</v>
      </c>
      <c r="N118">
        <f t="shared" si="12"/>
        <v>1.1311578727496012</v>
      </c>
      <c r="O118">
        <f t="shared" si="13"/>
        <v>728.38000000000011</v>
      </c>
      <c r="P118">
        <f t="shared" si="14"/>
        <v>-555346</v>
      </c>
      <c r="Q118">
        <f t="shared" si="15"/>
        <v>2025</v>
      </c>
      <c r="R118">
        <f t="shared" si="16"/>
        <v>3</v>
      </c>
      <c r="S118">
        <f t="shared" si="17"/>
        <v>3.0556503926254694</v>
      </c>
    </row>
    <row r="119" spans="1:19" x14ac:dyDescent="0.3">
      <c r="A119" t="s">
        <v>127</v>
      </c>
      <c r="B119" s="2">
        <v>45719</v>
      </c>
      <c r="C119" t="s">
        <v>510</v>
      </c>
      <c r="D119" t="s">
        <v>517</v>
      </c>
      <c r="E119">
        <v>8995.43</v>
      </c>
      <c r="F119">
        <v>8973.91</v>
      </c>
      <c r="G119">
        <v>65860</v>
      </c>
      <c r="H119">
        <v>1196</v>
      </c>
      <c r="I119">
        <v>210</v>
      </c>
      <c r="J119">
        <v>5226.49</v>
      </c>
      <c r="K119">
        <f t="shared" si="10"/>
        <v>1.8159732766474339</v>
      </c>
      <c r="L119">
        <f t="shared" si="11"/>
        <v>7.5032692307692308</v>
      </c>
      <c r="M119">
        <f t="shared" si="9"/>
        <v>42.732904761904763</v>
      </c>
      <c r="N119">
        <f t="shared" si="12"/>
        <v>0.58240945139855427</v>
      </c>
      <c r="O119">
        <f t="shared" si="13"/>
        <v>-3747.42</v>
      </c>
      <c r="P119">
        <f t="shared" si="14"/>
        <v>-897391</v>
      </c>
      <c r="Q119">
        <f t="shared" si="15"/>
        <v>2025</v>
      </c>
      <c r="R119">
        <f t="shared" si="16"/>
        <v>3</v>
      </c>
      <c r="S119">
        <f t="shared" si="17"/>
        <v>17.558528428093645</v>
      </c>
    </row>
    <row r="120" spans="1:19" x14ac:dyDescent="0.3">
      <c r="A120" t="s">
        <v>128</v>
      </c>
      <c r="B120" s="2">
        <v>45697</v>
      </c>
      <c r="C120" t="s">
        <v>513</v>
      </c>
      <c r="D120" t="s">
        <v>515</v>
      </c>
      <c r="E120">
        <v>3493.98</v>
      </c>
      <c r="F120">
        <v>3468.56</v>
      </c>
      <c r="G120">
        <v>149919</v>
      </c>
      <c r="H120">
        <v>5922</v>
      </c>
      <c r="I120">
        <v>705</v>
      </c>
      <c r="J120">
        <v>14660.71</v>
      </c>
      <c r="K120">
        <f t="shared" si="10"/>
        <v>3.9501330718588039</v>
      </c>
      <c r="L120">
        <f t="shared" si="11"/>
        <v>0.58570753123944608</v>
      </c>
      <c r="M120">
        <f t="shared" si="9"/>
        <v>4.9199432624113477</v>
      </c>
      <c r="N120">
        <f t="shared" si="12"/>
        <v>4.2267425098599993</v>
      </c>
      <c r="O120">
        <f t="shared" si="13"/>
        <v>11192.15</v>
      </c>
      <c r="P120">
        <f t="shared" si="14"/>
        <v>-346855.99999999994</v>
      </c>
      <c r="Q120">
        <f t="shared" si="15"/>
        <v>2025</v>
      </c>
      <c r="R120">
        <f t="shared" si="16"/>
        <v>2</v>
      </c>
      <c r="S120">
        <f t="shared" si="17"/>
        <v>11.904761904761903</v>
      </c>
    </row>
    <row r="121" spans="1:19" x14ac:dyDescent="0.3">
      <c r="A121" t="s">
        <v>129</v>
      </c>
      <c r="B121" s="2">
        <v>45797</v>
      </c>
      <c r="C121" t="s">
        <v>514</v>
      </c>
      <c r="D121" t="s">
        <v>515</v>
      </c>
      <c r="E121">
        <v>7100.43</v>
      </c>
      <c r="F121">
        <v>7683.16</v>
      </c>
      <c r="G121">
        <v>124319</v>
      </c>
      <c r="H121">
        <v>3473</v>
      </c>
      <c r="I121">
        <v>495</v>
      </c>
      <c r="J121">
        <v>18445.79</v>
      </c>
      <c r="K121">
        <f t="shared" si="10"/>
        <v>2.7936196397976172</v>
      </c>
      <c r="L121">
        <f t="shared" si="11"/>
        <v>2.2122545349841634</v>
      </c>
      <c r="M121">
        <f t="shared" si="9"/>
        <v>15.521535353535354</v>
      </c>
      <c r="N121">
        <f t="shared" si="12"/>
        <v>2.4008077405650803</v>
      </c>
      <c r="O121">
        <f t="shared" si="13"/>
        <v>10762.630000000001</v>
      </c>
      <c r="P121">
        <f t="shared" si="14"/>
        <v>-768316</v>
      </c>
      <c r="Q121">
        <f t="shared" si="15"/>
        <v>2025</v>
      </c>
      <c r="R121">
        <f t="shared" si="16"/>
        <v>5</v>
      </c>
      <c r="S121">
        <f t="shared" si="17"/>
        <v>14.252807371148862</v>
      </c>
    </row>
    <row r="122" spans="1:19" x14ac:dyDescent="0.3">
      <c r="A122" t="s">
        <v>130</v>
      </c>
      <c r="B122" s="2">
        <v>45784</v>
      </c>
      <c r="C122" t="s">
        <v>510</v>
      </c>
      <c r="D122" t="s">
        <v>517</v>
      </c>
      <c r="E122">
        <v>5717.19</v>
      </c>
      <c r="F122">
        <v>5677.09</v>
      </c>
      <c r="G122">
        <v>149623</v>
      </c>
      <c r="H122">
        <v>2483</v>
      </c>
      <c r="I122">
        <v>463</v>
      </c>
      <c r="J122">
        <v>15625.13</v>
      </c>
      <c r="K122">
        <f t="shared" si="10"/>
        <v>1.6595042206077943</v>
      </c>
      <c r="L122">
        <f t="shared" si="11"/>
        <v>2.2863834071687474</v>
      </c>
      <c r="M122">
        <f t="shared" si="9"/>
        <v>12.261533477321814</v>
      </c>
      <c r="N122">
        <f t="shared" si="12"/>
        <v>2.7523132449899506</v>
      </c>
      <c r="O122">
        <f t="shared" si="13"/>
        <v>9948.0399999999991</v>
      </c>
      <c r="P122">
        <f t="shared" si="14"/>
        <v>-567709</v>
      </c>
      <c r="Q122">
        <f t="shared" si="15"/>
        <v>2025</v>
      </c>
      <c r="R122">
        <f t="shared" si="16"/>
        <v>5</v>
      </c>
      <c r="S122">
        <f t="shared" si="17"/>
        <v>18.646798227950061</v>
      </c>
    </row>
    <row r="123" spans="1:19" x14ac:dyDescent="0.3">
      <c r="A123" t="s">
        <v>131</v>
      </c>
      <c r="B123" s="2">
        <v>45673</v>
      </c>
      <c r="C123" t="s">
        <v>513</v>
      </c>
      <c r="D123" t="s">
        <v>515</v>
      </c>
      <c r="E123">
        <v>6819.32</v>
      </c>
      <c r="F123">
        <v>7381.5</v>
      </c>
      <c r="G123">
        <v>53378</v>
      </c>
      <c r="H123">
        <v>2137</v>
      </c>
      <c r="I123">
        <v>410</v>
      </c>
      <c r="J123">
        <v>12949.06</v>
      </c>
      <c r="K123">
        <f t="shared" si="10"/>
        <v>4.0035220502828883</v>
      </c>
      <c r="L123">
        <f t="shared" si="11"/>
        <v>3.4541413196069257</v>
      </c>
      <c r="M123">
        <f t="shared" si="9"/>
        <v>18.003658536585366</v>
      </c>
      <c r="N123">
        <f t="shared" si="12"/>
        <v>1.7542586195217773</v>
      </c>
      <c r="O123">
        <f t="shared" si="13"/>
        <v>5567.5599999999995</v>
      </c>
      <c r="P123">
        <f t="shared" si="14"/>
        <v>-738150</v>
      </c>
      <c r="Q123">
        <f t="shared" si="15"/>
        <v>2025</v>
      </c>
      <c r="R123">
        <f t="shared" si="16"/>
        <v>1</v>
      </c>
      <c r="S123">
        <f t="shared" si="17"/>
        <v>19.18577445016378</v>
      </c>
    </row>
    <row r="124" spans="1:19" x14ac:dyDescent="0.3">
      <c r="A124" t="s">
        <v>132</v>
      </c>
      <c r="B124" s="2">
        <v>45752</v>
      </c>
      <c r="C124" t="s">
        <v>512</v>
      </c>
      <c r="D124" t="s">
        <v>515</v>
      </c>
      <c r="E124">
        <v>9728.33</v>
      </c>
      <c r="F124">
        <v>10424.93</v>
      </c>
      <c r="G124">
        <v>165946</v>
      </c>
      <c r="H124">
        <v>4099</v>
      </c>
      <c r="I124">
        <v>151</v>
      </c>
      <c r="J124">
        <v>3906.93</v>
      </c>
      <c r="K124">
        <f t="shared" si="10"/>
        <v>2.4700806286382315</v>
      </c>
      <c r="L124">
        <f t="shared" si="11"/>
        <v>2.5432861673578921</v>
      </c>
      <c r="M124">
        <f t="shared" si="9"/>
        <v>69.039271523178812</v>
      </c>
      <c r="N124">
        <f t="shared" si="12"/>
        <v>0.37476798405360995</v>
      </c>
      <c r="O124">
        <f t="shared" si="13"/>
        <v>-6518</v>
      </c>
      <c r="P124">
        <f t="shared" si="14"/>
        <v>-1042493</v>
      </c>
      <c r="Q124">
        <f t="shared" si="15"/>
        <v>2025</v>
      </c>
      <c r="R124">
        <f t="shared" si="16"/>
        <v>4</v>
      </c>
      <c r="S124">
        <f t="shared" si="17"/>
        <v>3.6838253232495735</v>
      </c>
    </row>
    <row r="125" spans="1:19" x14ac:dyDescent="0.3">
      <c r="A125" t="s">
        <v>133</v>
      </c>
      <c r="B125" s="2">
        <v>45814</v>
      </c>
      <c r="C125" t="s">
        <v>512</v>
      </c>
      <c r="D125" t="s">
        <v>515</v>
      </c>
      <c r="E125">
        <v>3485.53</v>
      </c>
      <c r="F125">
        <v>2893.8</v>
      </c>
      <c r="G125">
        <v>66013</v>
      </c>
      <c r="H125">
        <v>1830</v>
      </c>
      <c r="I125">
        <v>275</v>
      </c>
      <c r="J125">
        <v>5650.33</v>
      </c>
      <c r="K125">
        <f t="shared" si="10"/>
        <v>2.7721812370290699</v>
      </c>
      <c r="L125">
        <f t="shared" si="11"/>
        <v>1.5813114754098361</v>
      </c>
      <c r="M125">
        <f t="shared" si="9"/>
        <v>10.522909090909092</v>
      </c>
      <c r="N125">
        <f t="shared" si="12"/>
        <v>1.9525641025641025</v>
      </c>
      <c r="O125">
        <f t="shared" si="13"/>
        <v>2756.5299999999997</v>
      </c>
      <c r="P125">
        <f t="shared" si="14"/>
        <v>-289380</v>
      </c>
      <c r="Q125">
        <f t="shared" si="15"/>
        <v>2025</v>
      </c>
      <c r="R125">
        <f t="shared" si="16"/>
        <v>6</v>
      </c>
      <c r="S125">
        <f t="shared" si="17"/>
        <v>15.027322404371585</v>
      </c>
    </row>
    <row r="126" spans="1:19" x14ac:dyDescent="0.3">
      <c r="A126" t="s">
        <v>134</v>
      </c>
      <c r="B126" s="2">
        <v>45746</v>
      </c>
      <c r="C126" t="s">
        <v>510</v>
      </c>
      <c r="D126" t="s">
        <v>518</v>
      </c>
      <c r="E126">
        <v>3661.1</v>
      </c>
      <c r="F126">
        <v>3679.05</v>
      </c>
      <c r="G126">
        <v>163376</v>
      </c>
      <c r="H126">
        <v>7011</v>
      </c>
      <c r="I126">
        <v>514</v>
      </c>
      <c r="J126">
        <v>11377.73</v>
      </c>
      <c r="K126">
        <f t="shared" si="10"/>
        <v>4.2913279796298109</v>
      </c>
      <c r="L126">
        <f t="shared" si="11"/>
        <v>0.52475395806589642</v>
      </c>
      <c r="M126">
        <f t="shared" si="9"/>
        <v>7.1576848249027245</v>
      </c>
      <c r="N126">
        <f t="shared" si="12"/>
        <v>3.0925728109158612</v>
      </c>
      <c r="O126">
        <f t="shared" si="13"/>
        <v>7698.6799999999994</v>
      </c>
      <c r="P126">
        <f t="shared" si="14"/>
        <v>-367905</v>
      </c>
      <c r="Q126">
        <f t="shared" si="15"/>
        <v>2025</v>
      </c>
      <c r="R126">
        <f t="shared" si="16"/>
        <v>3</v>
      </c>
      <c r="S126">
        <f t="shared" si="17"/>
        <v>7.3313364712594487</v>
      </c>
    </row>
    <row r="127" spans="1:19" x14ac:dyDescent="0.3">
      <c r="A127" t="s">
        <v>135</v>
      </c>
      <c r="B127" s="2">
        <v>45766</v>
      </c>
      <c r="C127" t="s">
        <v>514</v>
      </c>
      <c r="D127" t="s">
        <v>517</v>
      </c>
      <c r="E127">
        <v>5232.83</v>
      </c>
      <c r="F127">
        <v>5512.59</v>
      </c>
      <c r="G127">
        <v>139628</v>
      </c>
      <c r="H127">
        <v>1738</v>
      </c>
      <c r="I127">
        <v>81</v>
      </c>
      <c r="J127">
        <v>1676.55</v>
      </c>
      <c r="K127">
        <f t="shared" si="10"/>
        <v>1.2447360128341021</v>
      </c>
      <c r="L127">
        <f t="shared" si="11"/>
        <v>3.1718009205983893</v>
      </c>
      <c r="M127">
        <f t="shared" si="9"/>
        <v>68.056666666666672</v>
      </c>
      <c r="N127">
        <f t="shared" si="12"/>
        <v>0.30413108901623376</v>
      </c>
      <c r="O127">
        <f t="shared" si="13"/>
        <v>-3836.04</v>
      </c>
      <c r="P127">
        <f t="shared" si="14"/>
        <v>-551259</v>
      </c>
      <c r="Q127">
        <f t="shared" si="15"/>
        <v>2025</v>
      </c>
      <c r="R127">
        <f t="shared" si="16"/>
        <v>4</v>
      </c>
      <c r="S127">
        <f t="shared" si="17"/>
        <v>4.6605293440736482</v>
      </c>
    </row>
    <row r="128" spans="1:19" x14ac:dyDescent="0.3">
      <c r="A128" t="s">
        <v>136</v>
      </c>
      <c r="B128" s="2">
        <v>45777</v>
      </c>
      <c r="C128" t="s">
        <v>510</v>
      </c>
      <c r="D128" t="s">
        <v>516</v>
      </c>
      <c r="E128">
        <v>8701.2800000000007</v>
      </c>
      <c r="F128">
        <v>7696.77</v>
      </c>
      <c r="G128">
        <v>62770</v>
      </c>
      <c r="H128">
        <v>1245</v>
      </c>
      <c r="I128">
        <v>249</v>
      </c>
      <c r="J128">
        <v>5862.69</v>
      </c>
      <c r="K128">
        <f t="shared" si="10"/>
        <v>1.9834315755934362</v>
      </c>
      <c r="L128">
        <f t="shared" si="11"/>
        <v>6.1821445783132534</v>
      </c>
      <c r="M128">
        <f t="shared" si="9"/>
        <v>30.910722891566266</v>
      </c>
      <c r="N128">
        <f t="shared" si="12"/>
        <v>0.76170783328591074</v>
      </c>
      <c r="O128">
        <f t="shared" si="13"/>
        <v>-1834.0800000000008</v>
      </c>
      <c r="P128">
        <f t="shared" si="14"/>
        <v>-769677</v>
      </c>
      <c r="Q128">
        <f t="shared" si="15"/>
        <v>2025</v>
      </c>
      <c r="R128">
        <f t="shared" si="16"/>
        <v>4</v>
      </c>
      <c r="S128">
        <f t="shared" si="17"/>
        <v>20</v>
      </c>
    </row>
    <row r="129" spans="1:19" x14ac:dyDescent="0.3">
      <c r="A129" t="s">
        <v>137</v>
      </c>
      <c r="B129" s="2">
        <v>45698</v>
      </c>
      <c r="C129" t="s">
        <v>513</v>
      </c>
      <c r="D129" t="s">
        <v>517</v>
      </c>
      <c r="E129">
        <v>7877.16</v>
      </c>
      <c r="F129">
        <v>7788.01</v>
      </c>
      <c r="G129">
        <v>129840</v>
      </c>
      <c r="H129">
        <v>5797</v>
      </c>
      <c r="I129">
        <v>480</v>
      </c>
      <c r="J129">
        <v>22235.599999999999</v>
      </c>
      <c r="K129">
        <f t="shared" si="10"/>
        <v>4.4647258163894028</v>
      </c>
      <c r="L129">
        <f t="shared" si="11"/>
        <v>1.3434552354666207</v>
      </c>
      <c r="M129">
        <f t="shared" si="9"/>
        <v>16.225020833333335</v>
      </c>
      <c r="N129">
        <f t="shared" si="12"/>
        <v>2.8551067602635332</v>
      </c>
      <c r="O129">
        <f t="shared" si="13"/>
        <v>14447.589999999998</v>
      </c>
      <c r="P129">
        <f t="shared" si="14"/>
        <v>-778801</v>
      </c>
      <c r="Q129">
        <f t="shared" si="15"/>
        <v>2025</v>
      </c>
      <c r="R129">
        <f t="shared" si="16"/>
        <v>2</v>
      </c>
      <c r="S129">
        <f t="shared" si="17"/>
        <v>8.2801449025357936</v>
      </c>
    </row>
    <row r="130" spans="1:19" x14ac:dyDescent="0.3">
      <c r="A130" t="s">
        <v>138</v>
      </c>
      <c r="B130" s="2">
        <v>45680</v>
      </c>
      <c r="C130" t="s">
        <v>513</v>
      </c>
      <c r="D130" t="s">
        <v>518</v>
      </c>
      <c r="E130">
        <v>8145.5</v>
      </c>
      <c r="F130">
        <v>8479.83</v>
      </c>
      <c r="G130">
        <v>81087</v>
      </c>
      <c r="H130">
        <v>3895</v>
      </c>
      <c r="I130">
        <v>231</v>
      </c>
      <c r="J130">
        <v>6574.5</v>
      </c>
      <c r="K130">
        <f t="shared" si="10"/>
        <v>4.8034826790977592</v>
      </c>
      <c r="L130">
        <f t="shared" si="11"/>
        <v>2.1771065468549424</v>
      </c>
      <c r="M130">
        <f t="shared" ref="M130:M193" si="18">(F130/I130)</f>
        <v>36.709220779220779</v>
      </c>
      <c r="N130">
        <f t="shared" si="12"/>
        <v>0.77531035409907978</v>
      </c>
      <c r="O130">
        <f t="shared" si="13"/>
        <v>-1905.33</v>
      </c>
      <c r="P130">
        <f t="shared" si="14"/>
        <v>-847983</v>
      </c>
      <c r="Q130">
        <f t="shared" si="15"/>
        <v>2025</v>
      </c>
      <c r="R130">
        <f t="shared" si="16"/>
        <v>1</v>
      </c>
      <c r="S130">
        <f t="shared" si="17"/>
        <v>5.9306803594351729</v>
      </c>
    </row>
    <row r="131" spans="1:19" x14ac:dyDescent="0.3">
      <c r="A131" t="s">
        <v>139</v>
      </c>
      <c r="B131" s="2">
        <v>45744</v>
      </c>
      <c r="C131" t="s">
        <v>510</v>
      </c>
      <c r="D131" t="s">
        <v>517</v>
      </c>
      <c r="E131">
        <v>4242.08</v>
      </c>
      <c r="F131">
        <v>4348.91</v>
      </c>
      <c r="G131">
        <v>199475</v>
      </c>
      <c r="H131">
        <v>6783</v>
      </c>
      <c r="I131">
        <v>258</v>
      </c>
      <c r="J131">
        <v>11404.9</v>
      </c>
      <c r="K131">
        <f t="shared" ref="K131:K194" si="19">((H131/G131)*100)</f>
        <v>3.4004261185612235</v>
      </c>
      <c r="L131">
        <f t="shared" ref="L131:L194" si="20">(F131/H131)</f>
        <v>0.64114845938375353</v>
      </c>
      <c r="M131">
        <f t="shared" si="18"/>
        <v>16.856240310077517</v>
      </c>
      <c r="N131">
        <f t="shared" ref="N131:N194" si="21">(J131/F131)</f>
        <v>2.6224732174268954</v>
      </c>
      <c r="O131">
        <f t="shared" ref="O131:O194" si="22">(J131-F131)</f>
        <v>7055.99</v>
      </c>
      <c r="P131">
        <f t="shared" ref="P131:P194" si="23">(O131-J131)*100</f>
        <v>-434891</v>
      </c>
      <c r="Q131">
        <f t="shared" ref="Q131:Q194" si="24">YEAR(B131)</f>
        <v>2025</v>
      </c>
      <c r="R131">
        <f t="shared" ref="R131:R194" si="25">MONTH(B131)</f>
        <v>3</v>
      </c>
      <c r="S131">
        <f t="shared" ref="S131:S194" si="26">(I131/H131)*100</f>
        <v>3.8036267138434319</v>
      </c>
    </row>
    <row r="132" spans="1:19" x14ac:dyDescent="0.3">
      <c r="A132" t="s">
        <v>140</v>
      </c>
      <c r="B132" s="2">
        <v>45770</v>
      </c>
      <c r="C132" t="s">
        <v>514</v>
      </c>
      <c r="D132" t="s">
        <v>515</v>
      </c>
      <c r="E132">
        <v>9933.5400000000009</v>
      </c>
      <c r="F132">
        <v>9176.4599999999991</v>
      </c>
      <c r="G132">
        <v>197123</v>
      </c>
      <c r="H132">
        <v>3693</v>
      </c>
      <c r="I132">
        <v>271</v>
      </c>
      <c r="J132">
        <v>8444.51</v>
      </c>
      <c r="K132">
        <f t="shared" si="19"/>
        <v>1.8734495720945807</v>
      </c>
      <c r="L132">
        <f t="shared" si="20"/>
        <v>2.4848253452477658</v>
      </c>
      <c r="M132">
        <f t="shared" si="18"/>
        <v>33.861476014760143</v>
      </c>
      <c r="N132">
        <f t="shared" si="21"/>
        <v>0.9202361259134787</v>
      </c>
      <c r="O132">
        <f t="shared" si="22"/>
        <v>-731.94999999999891</v>
      </c>
      <c r="P132">
        <f t="shared" si="23"/>
        <v>-917645.99999999988</v>
      </c>
      <c r="Q132">
        <f t="shared" si="24"/>
        <v>2025</v>
      </c>
      <c r="R132">
        <f t="shared" si="25"/>
        <v>4</v>
      </c>
      <c r="S132">
        <f t="shared" si="26"/>
        <v>7.3382074194421874</v>
      </c>
    </row>
    <row r="133" spans="1:19" x14ac:dyDescent="0.3">
      <c r="A133" t="s">
        <v>141</v>
      </c>
      <c r="B133" s="2">
        <v>45764</v>
      </c>
      <c r="C133" t="s">
        <v>511</v>
      </c>
      <c r="D133" t="s">
        <v>516</v>
      </c>
      <c r="E133">
        <v>8434.89</v>
      </c>
      <c r="F133">
        <v>7610.3</v>
      </c>
      <c r="G133">
        <v>139183</v>
      </c>
      <c r="H133">
        <v>5327</v>
      </c>
      <c r="I133">
        <v>212</v>
      </c>
      <c r="J133">
        <v>10159.620000000001</v>
      </c>
      <c r="K133">
        <f t="shared" si="19"/>
        <v>3.8273352349065619</v>
      </c>
      <c r="L133">
        <f t="shared" si="20"/>
        <v>1.4286277454477192</v>
      </c>
      <c r="M133">
        <f t="shared" si="18"/>
        <v>35.89764150943396</v>
      </c>
      <c r="N133">
        <f t="shared" si="21"/>
        <v>1.3349828521871674</v>
      </c>
      <c r="O133">
        <f t="shared" si="22"/>
        <v>2549.3200000000006</v>
      </c>
      <c r="P133">
        <f t="shared" si="23"/>
        <v>-761030</v>
      </c>
      <c r="Q133">
        <f t="shared" si="24"/>
        <v>2025</v>
      </c>
      <c r="R133">
        <f t="shared" si="25"/>
        <v>4</v>
      </c>
      <c r="S133">
        <f t="shared" si="26"/>
        <v>3.9797259245353858</v>
      </c>
    </row>
    <row r="134" spans="1:19" x14ac:dyDescent="0.3">
      <c r="A134" t="s">
        <v>142</v>
      </c>
      <c r="B134" s="2">
        <v>45640</v>
      </c>
      <c r="C134" t="s">
        <v>511</v>
      </c>
      <c r="D134" t="s">
        <v>518</v>
      </c>
      <c r="E134">
        <v>9008.89</v>
      </c>
      <c r="F134">
        <v>8366.5400000000009</v>
      </c>
      <c r="G134">
        <v>144975</v>
      </c>
      <c r="H134">
        <v>7116</v>
      </c>
      <c r="I134">
        <v>119</v>
      </c>
      <c r="J134">
        <v>5060.6099999999997</v>
      </c>
      <c r="K134">
        <f t="shared" si="19"/>
        <v>4.9084324883600621</v>
      </c>
      <c r="L134">
        <f t="shared" si="20"/>
        <v>1.175736368746487</v>
      </c>
      <c r="M134">
        <f t="shared" si="18"/>
        <v>70.307058823529417</v>
      </c>
      <c r="N134">
        <f t="shared" si="21"/>
        <v>0.60486294214812808</v>
      </c>
      <c r="O134">
        <f t="shared" si="22"/>
        <v>-3305.9300000000012</v>
      </c>
      <c r="P134">
        <f t="shared" si="23"/>
        <v>-836654.00000000012</v>
      </c>
      <c r="Q134">
        <f t="shared" si="24"/>
        <v>2024</v>
      </c>
      <c r="R134">
        <f t="shared" si="25"/>
        <v>12</v>
      </c>
      <c r="S134">
        <f t="shared" si="26"/>
        <v>1.6722878021360317</v>
      </c>
    </row>
    <row r="135" spans="1:19" x14ac:dyDescent="0.3">
      <c r="A135" t="s">
        <v>143</v>
      </c>
      <c r="B135" s="2">
        <v>45713</v>
      </c>
      <c r="C135" t="s">
        <v>511</v>
      </c>
      <c r="D135" t="s">
        <v>516</v>
      </c>
      <c r="E135">
        <v>8281.7999999999993</v>
      </c>
      <c r="F135">
        <v>6881.66</v>
      </c>
      <c r="G135">
        <v>77279</v>
      </c>
      <c r="H135">
        <v>3326</v>
      </c>
      <c r="I135">
        <v>210</v>
      </c>
      <c r="J135">
        <v>9886.08</v>
      </c>
      <c r="K135">
        <f t="shared" si="19"/>
        <v>4.3038859198488595</v>
      </c>
      <c r="L135">
        <f t="shared" si="20"/>
        <v>2.0690499098015636</v>
      </c>
      <c r="M135">
        <f t="shared" si="18"/>
        <v>32.769809523809521</v>
      </c>
      <c r="N135">
        <f t="shared" si="21"/>
        <v>1.4365836149998692</v>
      </c>
      <c r="O135">
        <f t="shared" si="22"/>
        <v>3004.42</v>
      </c>
      <c r="P135">
        <f t="shared" si="23"/>
        <v>-688166</v>
      </c>
      <c r="Q135">
        <f t="shared" si="24"/>
        <v>2025</v>
      </c>
      <c r="R135">
        <f t="shared" si="25"/>
        <v>2</v>
      </c>
      <c r="S135">
        <f t="shared" si="26"/>
        <v>6.3138905592303063</v>
      </c>
    </row>
    <row r="136" spans="1:19" x14ac:dyDescent="0.3">
      <c r="A136" t="s">
        <v>144</v>
      </c>
      <c r="B136" s="2">
        <v>45685</v>
      </c>
      <c r="C136" t="s">
        <v>514</v>
      </c>
      <c r="D136" t="s">
        <v>515</v>
      </c>
      <c r="E136">
        <v>6536.77</v>
      </c>
      <c r="F136">
        <v>6850.12</v>
      </c>
      <c r="G136">
        <v>195662</v>
      </c>
      <c r="H136">
        <v>9052</v>
      </c>
      <c r="I136">
        <v>377</v>
      </c>
      <c r="J136">
        <v>11159.76</v>
      </c>
      <c r="K136">
        <f t="shared" si="19"/>
        <v>4.6263454324293933</v>
      </c>
      <c r="L136">
        <f t="shared" si="20"/>
        <v>0.75675209898365003</v>
      </c>
      <c r="M136">
        <f t="shared" si="18"/>
        <v>18.170079575596816</v>
      </c>
      <c r="N136">
        <f t="shared" si="21"/>
        <v>1.6291335042305828</v>
      </c>
      <c r="O136">
        <f t="shared" si="22"/>
        <v>4309.6400000000003</v>
      </c>
      <c r="P136">
        <f t="shared" si="23"/>
        <v>-685012</v>
      </c>
      <c r="Q136">
        <f t="shared" si="24"/>
        <v>2025</v>
      </c>
      <c r="R136">
        <f t="shared" si="25"/>
        <v>1</v>
      </c>
      <c r="S136">
        <f t="shared" si="26"/>
        <v>4.1648254529385778</v>
      </c>
    </row>
    <row r="137" spans="1:19" x14ac:dyDescent="0.3">
      <c r="A137" t="s">
        <v>145</v>
      </c>
      <c r="B137" s="2">
        <v>45715</v>
      </c>
      <c r="C137" t="s">
        <v>511</v>
      </c>
      <c r="D137" t="s">
        <v>518</v>
      </c>
      <c r="E137">
        <v>9268.66</v>
      </c>
      <c r="F137">
        <v>8497.14</v>
      </c>
      <c r="G137">
        <v>168167</v>
      </c>
      <c r="H137">
        <v>4467</v>
      </c>
      <c r="I137">
        <v>63</v>
      </c>
      <c r="J137">
        <v>1280.48</v>
      </c>
      <c r="K137">
        <f t="shared" si="19"/>
        <v>2.6562880945726572</v>
      </c>
      <c r="L137">
        <f t="shared" si="20"/>
        <v>1.9022028206850234</v>
      </c>
      <c r="M137">
        <f t="shared" si="18"/>
        <v>134.87523809523807</v>
      </c>
      <c r="N137">
        <f t="shared" si="21"/>
        <v>0.15069541045575335</v>
      </c>
      <c r="O137">
        <f t="shared" si="22"/>
        <v>-7216.66</v>
      </c>
      <c r="P137">
        <f t="shared" si="23"/>
        <v>-849714</v>
      </c>
      <c r="Q137">
        <f t="shared" si="24"/>
        <v>2025</v>
      </c>
      <c r="R137">
        <f t="shared" si="25"/>
        <v>2</v>
      </c>
      <c r="S137">
        <f t="shared" si="26"/>
        <v>1.4103425117528543</v>
      </c>
    </row>
    <row r="138" spans="1:19" x14ac:dyDescent="0.3">
      <c r="A138" t="s">
        <v>146</v>
      </c>
      <c r="B138" s="2">
        <v>45650</v>
      </c>
      <c r="C138" t="s">
        <v>514</v>
      </c>
      <c r="D138" t="s">
        <v>516</v>
      </c>
      <c r="E138">
        <v>9337.67</v>
      </c>
      <c r="F138">
        <v>7725.86</v>
      </c>
      <c r="G138">
        <v>163943</v>
      </c>
      <c r="H138">
        <v>2848</v>
      </c>
      <c r="I138">
        <v>536</v>
      </c>
      <c r="J138">
        <v>15854.56</v>
      </c>
      <c r="K138">
        <f t="shared" si="19"/>
        <v>1.7371891450077159</v>
      </c>
      <c r="L138">
        <f t="shared" si="20"/>
        <v>2.7127317415730334</v>
      </c>
      <c r="M138">
        <f t="shared" si="18"/>
        <v>14.413917910447761</v>
      </c>
      <c r="N138">
        <f t="shared" si="21"/>
        <v>2.0521417680361798</v>
      </c>
      <c r="O138">
        <f t="shared" si="22"/>
        <v>8128.7</v>
      </c>
      <c r="P138">
        <f t="shared" si="23"/>
        <v>-772586</v>
      </c>
      <c r="Q138">
        <f t="shared" si="24"/>
        <v>2024</v>
      </c>
      <c r="R138">
        <f t="shared" si="25"/>
        <v>12</v>
      </c>
      <c r="S138">
        <f t="shared" si="26"/>
        <v>18.820224719101123</v>
      </c>
    </row>
    <row r="139" spans="1:19" x14ac:dyDescent="0.3">
      <c r="A139" t="s">
        <v>147</v>
      </c>
      <c r="B139" s="2">
        <v>45808</v>
      </c>
      <c r="C139" t="s">
        <v>514</v>
      </c>
      <c r="D139" t="s">
        <v>517</v>
      </c>
      <c r="E139">
        <v>9650.43</v>
      </c>
      <c r="F139">
        <v>10472.469999999999</v>
      </c>
      <c r="G139">
        <v>137121</v>
      </c>
      <c r="H139">
        <v>1770</v>
      </c>
      <c r="I139">
        <v>271</v>
      </c>
      <c r="J139">
        <v>10082.049999999999</v>
      </c>
      <c r="K139">
        <f t="shared" si="19"/>
        <v>1.2908307261469796</v>
      </c>
      <c r="L139">
        <f t="shared" si="20"/>
        <v>5.9166497175141242</v>
      </c>
      <c r="M139">
        <f t="shared" si="18"/>
        <v>38.643800738007378</v>
      </c>
      <c r="N139">
        <f t="shared" si="21"/>
        <v>0.96271939666573403</v>
      </c>
      <c r="O139">
        <f t="shared" si="22"/>
        <v>-390.42000000000007</v>
      </c>
      <c r="P139">
        <f t="shared" si="23"/>
        <v>-1047246.9999999999</v>
      </c>
      <c r="Q139">
        <f t="shared" si="24"/>
        <v>2025</v>
      </c>
      <c r="R139">
        <f t="shared" si="25"/>
        <v>5</v>
      </c>
      <c r="S139">
        <f t="shared" si="26"/>
        <v>15.310734463276837</v>
      </c>
    </row>
    <row r="140" spans="1:19" x14ac:dyDescent="0.3">
      <c r="A140" t="s">
        <v>148</v>
      </c>
      <c r="B140" s="2">
        <v>45646</v>
      </c>
      <c r="C140" t="s">
        <v>510</v>
      </c>
      <c r="D140" t="s">
        <v>518</v>
      </c>
      <c r="E140">
        <v>7422.86</v>
      </c>
      <c r="F140">
        <v>6936.91</v>
      </c>
      <c r="G140">
        <v>174799</v>
      </c>
      <c r="H140">
        <v>5339</v>
      </c>
      <c r="I140">
        <v>543</v>
      </c>
      <c r="J140">
        <v>15636.4</v>
      </c>
      <c r="K140">
        <f t="shared" si="19"/>
        <v>3.0543652995726518</v>
      </c>
      <c r="L140">
        <f t="shared" si="20"/>
        <v>1.2992901292376848</v>
      </c>
      <c r="M140">
        <f t="shared" si="18"/>
        <v>12.775156537753222</v>
      </c>
      <c r="N140">
        <f t="shared" si="21"/>
        <v>2.2540871944424823</v>
      </c>
      <c r="O140">
        <f t="shared" si="22"/>
        <v>8699.49</v>
      </c>
      <c r="P140">
        <f t="shared" si="23"/>
        <v>-693691</v>
      </c>
      <c r="Q140">
        <f t="shared" si="24"/>
        <v>2024</v>
      </c>
      <c r="R140">
        <f t="shared" si="25"/>
        <v>12</v>
      </c>
      <c r="S140">
        <f t="shared" si="26"/>
        <v>10.170443903352687</v>
      </c>
    </row>
    <row r="141" spans="1:19" x14ac:dyDescent="0.3">
      <c r="A141" t="s">
        <v>149</v>
      </c>
      <c r="B141" s="2">
        <v>45787</v>
      </c>
      <c r="C141" t="s">
        <v>511</v>
      </c>
      <c r="D141" t="s">
        <v>517</v>
      </c>
      <c r="E141">
        <v>5300.65</v>
      </c>
      <c r="F141">
        <v>5309.96</v>
      </c>
      <c r="G141">
        <v>58780</v>
      </c>
      <c r="H141">
        <v>1712</v>
      </c>
      <c r="I141">
        <v>92</v>
      </c>
      <c r="J141">
        <v>3916.55</v>
      </c>
      <c r="K141">
        <f t="shared" si="19"/>
        <v>2.9125552909152774</v>
      </c>
      <c r="L141">
        <f t="shared" si="20"/>
        <v>3.1016121495327105</v>
      </c>
      <c r="M141">
        <f t="shared" si="18"/>
        <v>57.716956521739128</v>
      </c>
      <c r="N141">
        <f t="shared" si="21"/>
        <v>0.73758559386511391</v>
      </c>
      <c r="O141">
        <f t="shared" si="22"/>
        <v>-1393.4099999999999</v>
      </c>
      <c r="P141">
        <f t="shared" si="23"/>
        <v>-530996</v>
      </c>
      <c r="Q141">
        <f t="shared" si="24"/>
        <v>2025</v>
      </c>
      <c r="R141">
        <f t="shared" si="25"/>
        <v>5</v>
      </c>
      <c r="S141">
        <f t="shared" si="26"/>
        <v>5.3738317757009346</v>
      </c>
    </row>
    <row r="142" spans="1:19" x14ac:dyDescent="0.3">
      <c r="A142" t="s">
        <v>150</v>
      </c>
      <c r="B142" s="2">
        <v>45752</v>
      </c>
      <c r="C142" t="s">
        <v>514</v>
      </c>
      <c r="D142" t="s">
        <v>516</v>
      </c>
      <c r="E142">
        <v>8541.0499999999993</v>
      </c>
      <c r="F142">
        <v>8856.09</v>
      </c>
      <c r="G142">
        <v>198199</v>
      </c>
      <c r="H142">
        <v>5993</v>
      </c>
      <c r="I142">
        <v>1087</v>
      </c>
      <c r="J142">
        <v>24714.23</v>
      </c>
      <c r="K142">
        <f t="shared" si="19"/>
        <v>3.0237286767339895</v>
      </c>
      <c r="L142">
        <f t="shared" si="20"/>
        <v>1.4777390288670116</v>
      </c>
      <c r="M142">
        <f t="shared" si="18"/>
        <v>8.1472769089236436</v>
      </c>
      <c r="N142">
        <f t="shared" si="21"/>
        <v>2.7906480173530306</v>
      </c>
      <c r="O142">
        <f t="shared" si="22"/>
        <v>15858.14</v>
      </c>
      <c r="P142">
        <f t="shared" si="23"/>
        <v>-885609</v>
      </c>
      <c r="Q142">
        <f t="shared" si="24"/>
        <v>2025</v>
      </c>
      <c r="R142">
        <f t="shared" si="25"/>
        <v>4</v>
      </c>
      <c r="S142">
        <f t="shared" si="26"/>
        <v>18.137827465376272</v>
      </c>
    </row>
    <row r="143" spans="1:19" x14ac:dyDescent="0.3">
      <c r="A143" t="s">
        <v>151</v>
      </c>
      <c r="B143" s="2">
        <v>45787</v>
      </c>
      <c r="C143" t="s">
        <v>514</v>
      </c>
      <c r="D143" t="s">
        <v>517</v>
      </c>
      <c r="E143">
        <v>6460.94</v>
      </c>
      <c r="F143">
        <v>5280.32</v>
      </c>
      <c r="G143">
        <v>103994</v>
      </c>
      <c r="H143">
        <v>4644</v>
      </c>
      <c r="I143">
        <v>871</v>
      </c>
      <c r="J143">
        <v>31779.19</v>
      </c>
      <c r="K143">
        <f t="shared" si="19"/>
        <v>4.4656422485912648</v>
      </c>
      <c r="L143">
        <f t="shared" si="20"/>
        <v>1.1370198105081826</v>
      </c>
      <c r="M143">
        <f t="shared" si="18"/>
        <v>6.0623650975889776</v>
      </c>
      <c r="N143">
        <f t="shared" si="21"/>
        <v>6.0184212320465429</v>
      </c>
      <c r="O143">
        <f t="shared" si="22"/>
        <v>26498.87</v>
      </c>
      <c r="P143">
        <f t="shared" si="23"/>
        <v>-528032</v>
      </c>
      <c r="Q143">
        <f t="shared" si="24"/>
        <v>2025</v>
      </c>
      <c r="R143">
        <f t="shared" si="25"/>
        <v>5</v>
      </c>
      <c r="S143">
        <f t="shared" si="26"/>
        <v>18.755383290267012</v>
      </c>
    </row>
    <row r="144" spans="1:19" x14ac:dyDescent="0.3">
      <c r="A144" t="s">
        <v>152</v>
      </c>
      <c r="B144" s="2">
        <v>45800</v>
      </c>
      <c r="C144" t="s">
        <v>512</v>
      </c>
      <c r="D144" t="s">
        <v>517</v>
      </c>
      <c r="E144">
        <v>6090.71</v>
      </c>
      <c r="F144">
        <v>6494.59</v>
      </c>
      <c r="G144">
        <v>149870</v>
      </c>
      <c r="H144">
        <v>2505</v>
      </c>
      <c r="I144">
        <v>453</v>
      </c>
      <c r="J144">
        <v>13828.94</v>
      </c>
      <c r="K144">
        <f t="shared" si="19"/>
        <v>1.6714485887769401</v>
      </c>
      <c r="L144">
        <f t="shared" si="20"/>
        <v>2.5926506986027946</v>
      </c>
      <c r="M144">
        <f t="shared" si="18"/>
        <v>14.336843267108168</v>
      </c>
      <c r="N144">
        <f t="shared" si="21"/>
        <v>2.1293014647575905</v>
      </c>
      <c r="O144">
        <f t="shared" si="22"/>
        <v>7334.35</v>
      </c>
      <c r="P144">
        <f t="shared" si="23"/>
        <v>-649459</v>
      </c>
      <c r="Q144">
        <f t="shared" si="24"/>
        <v>2025</v>
      </c>
      <c r="R144">
        <f t="shared" si="25"/>
        <v>5</v>
      </c>
      <c r="S144">
        <f t="shared" si="26"/>
        <v>18.08383233532934</v>
      </c>
    </row>
    <row r="145" spans="1:19" x14ac:dyDescent="0.3">
      <c r="A145" t="s">
        <v>153</v>
      </c>
      <c r="B145" s="2">
        <v>45816</v>
      </c>
      <c r="C145" t="s">
        <v>510</v>
      </c>
      <c r="D145" t="s">
        <v>517</v>
      </c>
      <c r="E145">
        <v>3819.47</v>
      </c>
      <c r="F145">
        <v>3219.42</v>
      </c>
      <c r="G145">
        <v>77061</v>
      </c>
      <c r="H145">
        <v>1539</v>
      </c>
      <c r="I145">
        <v>244</v>
      </c>
      <c r="J145">
        <v>10454.26</v>
      </c>
      <c r="K145">
        <f t="shared" si="19"/>
        <v>1.9971191653365516</v>
      </c>
      <c r="L145">
        <f t="shared" si="20"/>
        <v>2.0918908382066279</v>
      </c>
      <c r="M145">
        <f t="shared" si="18"/>
        <v>13.194344262295083</v>
      </c>
      <c r="N145">
        <f t="shared" si="21"/>
        <v>3.2472495045691461</v>
      </c>
      <c r="O145">
        <f t="shared" si="22"/>
        <v>7234.84</v>
      </c>
      <c r="P145">
        <f t="shared" si="23"/>
        <v>-321942</v>
      </c>
      <c r="Q145">
        <f t="shared" si="24"/>
        <v>2025</v>
      </c>
      <c r="R145">
        <f t="shared" si="25"/>
        <v>6</v>
      </c>
      <c r="S145">
        <f t="shared" si="26"/>
        <v>15.854450942170239</v>
      </c>
    </row>
    <row r="146" spans="1:19" x14ac:dyDescent="0.3">
      <c r="A146" t="s">
        <v>154</v>
      </c>
      <c r="B146" s="2">
        <v>45762</v>
      </c>
      <c r="C146" t="s">
        <v>514</v>
      </c>
      <c r="D146" t="s">
        <v>517</v>
      </c>
      <c r="E146">
        <v>7327.53</v>
      </c>
      <c r="F146">
        <v>6084.32</v>
      </c>
      <c r="G146">
        <v>70716</v>
      </c>
      <c r="H146">
        <v>2637</v>
      </c>
      <c r="I146">
        <v>111</v>
      </c>
      <c r="J146">
        <v>2500.08</v>
      </c>
      <c r="K146">
        <f t="shared" si="19"/>
        <v>3.7290005090785678</v>
      </c>
      <c r="L146">
        <f t="shared" si="20"/>
        <v>2.3072885855138412</v>
      </c>
      <c r="M146">
        <f t="shared" si="18"/>
        <v>54.813693693693693</v>
      </c>
      <c r="N146">
        <f t="shared" si="21"/>
        <v>0.41090540931443448</v>
      </c>
      <c r="O146">
        <f t="shared" si="22"/>
        <v>-3584.24</v>
      </c>
      <c r="P146">
        <f t="shared" si="23"/>
        <v>-608432</v>
      </c>
      <c r="Q146">
        <f t="shared" si="24"/>
        <v>2025</v>
      </c>
      <c r="R146">
        <f t="shared" si="25"/>
        <v>4</v>
      </c>
      <c r="S146">
        <f t="shared" si="26"/>
        <v>4.2093287827076225</v>
      </c>
    </row>
    <row r="147" spans="1:19" x14ac:dyDescent="0.3">
      <c r="A147" t="s">
        <v>155</v>
      </c>
      <c r="B147" s="2">
        <v>45789</v>
      </c>
      <c r="C147" t="s">
        <v>513</v>
      </c>
      <c r="D147" t="s">
        <v>518</v>
      </c>
      <c r="E147">
        <v>7906.78</v>
      </c>
      <c r="F147">
        <v>6498.02</v>
      </c>
      <c r="G147">
        <v>81757</v>
      </c>
      <c r="H147">
        <v>1390</v>
      </c>
      <c r="I147">
        <v>160</v>
      </c>
      <c r="J147">
        <v>7144.93</v>
      </c>
      <c r="K147">
        <f t="shared" si="19"/>
        <v>1.7001602309282386</v>
      </c>
      <c r="L147">
        <f t="shared" si="20"/>
        <v>4.674834532374101</v>
      </c>
      <c r="M147">
        <f t="shared" si="18"/>
        <v>40.612625000000001</v>
      </c>
      <c r="N147">
        <f t="shared" si="21"/>
        <v>1.0995549413513654</v>
      </c>
      <c r="O147">
        <f t="shared" si="22"/>
        <v>646.90999999999985</v>
      </c>
      <c r="P147">
        <f t="shared" si="23"/>
        <v>-649802</v>
      </c>
      <c r="Q147">
        <f t="shared" si="24"/>
        <v>2025</v>
      </c>
      <c r="R147">
        <f t="shared" si="25"/>
        <v>5</v>
      </c>
      <c r="S147">
        <f t="shared" si="26"/>
        <v>11.510791366906476</v>
      </c>
    </row>
    <row r="148" spans="1:19" x14ac:dyDescent="0.3">
      <c r="A148" t="s">
        <v>156</v>
      </c>
      <c r="B148" s="2">
        <v>45771</v>
      </c>
      <c r="C148" t="s">
        <v>512</v>
      </c>
      <c r="D148" t="s">
        <v>515</v>
      </c>
      <c r="E148">
        <v>7943.7</v>
      </c>
      <c r="F148">
        <v>6548.82</v>
      </c>
      <c r="G148">
        <v>127949</v>
      </c>
      <c r="H148">
        <v>2073</v>
      </c>
      <c r="I148">
        <v>179</v>
      </c>
      <c r="J148">
        <v>4035.58</v>
      </c>
      <c r="K148">
        <f t="shared" si="19"/>
        <v>1.6201767891894425</v>
      </c>
      <c r="L148">
        <f t="shared" si="20"/>
        <v>3.1591027496382051</v>
      </c>
      <c r="M148">
        <f t="shared" si="18"/>
        <v>36.585586592178771</v>
      </c>
      <c r="N148">
        <f t="shared" si="21"/>
        <v>0.61623009946830121</v>
      </c>
      <c r="O148">
        <f t="shared" si="22"/>
        <v>-2513.2399999999998</v>
      </c>
      <c r="P148">
        <f t="shared" si="23"/>
        <v>-654882</v>
      </c>
      <c r="Q148">
        <f t="shared" si="24"/>
        <v>2025</v>
      </c>
      <c r="R148">
        <f t="shared" si="25"/>
        <v>4</v>
      </c>
      <c r="S148">
        <f t="shared" si="26"/>
        <v>8.6348287506029902</v>
      </c>
    </row>
    <row r="149" spans="1:19" x14ac:dyDescent="0.3">
      <c r="A149" t="s">
        <v>157</v>
      </c>
      <c r="B149" s="2">
        <v>45700</v>
      </c>
      <c r="C149" t="s">
        <v>513</v>
      </c>
      <c r="D149" t="s">
        <v>517</v>
      </c>
      <c r="E149">
        <v>9906.48</v>
      </c>
      <c r="F149">
        <v>9037.5</v>
      </c>
      <c r="G149">
        <v>130404</v>
      </c>
      <c r="H149">
        <v>3053</v>
      </c>
      <c r="I149">
        <v>159</v>
      </c>
      <c r="J149">
        <v>4947.96</v>
      </c>
      <c r="K149">
        <f t="shared" si="19"/>
        <v>2.3411858531946872</v>
      </c>
      <c r="L149">
        <f t="shared" si="20"/>
        <v>2.9602030789387488</v>
      </c>
      <c r="M149">
        <f t="shared" si="18"/>
        <v>56.839622641509436</v>
      </c>
      <c r="N149">
        <f t="shared" si="21"/>
        <v>0.54749211618257265</v>
      </c>
      <c r="O149">
        <f t="shared" si="22"/>
        <v>-4089.54</v>
      </c>
      <c r="P149">
        <f t="shared" si="23"/>
        <v>-903750</v>
      </c>
      <c r="Q149">
        <f t="shared" si="24"/>
        <v>2025</v>
      </c>
      <c r="R149">
        <f t="shared" si="25"/>
        <v>2</v>
      </c>
      <c r="S149">
        <f t="shared" si="26"/>
        <v>5.2079921388797903</v>
      </c>
    </row>
    <row r="150" spans="1:19" x14ac:dyDescent="0.3">
      <c r="A150" t="s">
        <v>158</v>
      </c>
      <c r="B150" s="2">
        <v>45784</v>
      </c>
      <c r="C150" t="s">
        <v>511</v>
      </c>
      <c r="D150" t="s">
        <v>517</v>
      </c>
      <c r="E150">
        <v>8689.6</v>
      </c>
      <c r="F150">
        <v>9421.0400000000009</v>
      </c>
      <c r="G150">
        <v>162097</v>
      </c>
      <c r="H150">
        <v>7152</v>
      </c>
      <c r="I150">
        <v>1126</v>
      </c>
      <c r="J150">
        <v>55827.12</v>
      </c>
      <c r="K150">
        <f t="shared" si="19"/>
        <v>4.412172958167023</v>
      </c>
      <c r="L150">
        <f t="shared" si="20"/>
        <v>1.3172595078299778</v>
      </c>
      <c r="M150">
        <f t="shared" si="18"/>
        <v>8.3668206039076392</v>
      </c>
      <c r="N150">
        <f t="shared" si="21"/>
        <v>5.9257916323463222</v>
      </c>
      <c r="O150">
        <f t="shared" si="22"/>
        <v>46406.080000000002</v>
      </c>
      <c r="P150">
        <f t="shared" si="23"/>
        <v>-942104.00000000012</v>
      </c>
      <c r="Q150">
        <f t="shared" si="24"/>
        <v>2025</v>
      </c>
      <c r="R150">
        <f t="shared" si="25"/>
        <v>5</v>
      </c>
      <c r="S150">
        <f t="shared" si="26"/>
        <v>15.743847874720357</v>
      </c>
    </row>
    <row r="151" spans="1:19" x14ac:dyDescent="0.3">
      <c r="A151" t="s">
        <v>159</v>
      </c>
      <c r="B151" s="2">
        <v>45793</v>
      </c>
      <c r="C151" t="s">
        <v>513</v>
      </c>
      <c r="D151" t="s">
        <v>518</v>
      </c>
      <c r="E151">
        <v>8273.65</v>
      </c>
      <c r="F151">
        <v>7552.83</v>
      </c>
      <c r="G151">
        <v>154555</v>
      </c>
      <c r="H151">
        <v>7368</v>
      </c>
      <c r="I151">
        <v>692</v>
      </c>
      <c r="J151">
        <v>15573.47</v>
      </c>
      <c r="K151">
        <f t="shared" si="19"/>
        <v>4.7672349648992265</v>
      </c>
      <c r="L151">
        <f t="shared" si="20"/>
        <v>1.0250855048859935</v>
      </c>
      <c r="M151">
        <f t="shared" si="18"/>
        <v>10.914494219653179</v>
      </c>
      <c r="N151">
        <f t="shared" si="21"/>
        <v>2.0619383727688825</v>
      </c>
      <c r="O151">
        <f t="shared" si="22"/>
        <v>8020.6399999999994</v>
      </c>
      <c r="P151">
        <f t="shared" si="23"/>
        <v>-755283</v>
      </c>
      <c r="Q151">
        <f t="shared" si="24"/>
        <v>2025</v>
      </c>
      <c r="R151">
        <f t="shared" si="25"/>
        <v>5</v>
      </c>
      <c r="S151">
        <f t="shared" si="26"/>
        <v>9.3919652551574373</v>
      </c>
    </row>
    <row r="152" spans="1:19" x14ac:dyDescent="0.3">
      <c r="A152" t="s">
        <v>160</v>
      </c>
      <c r="B152" s="2">
        <v>45802</v>
      </c>
      <c r="C152" t="s">
        <v>511</v>
      </c>
      <c r="D152" t="s">
        <v>518</v>
      </c>
      <c r="E152">
        <v>8440.0300000000007</v>
      </c>
      <c r="F152">
        <v>8165.91</v>
      </c>
      <c r="G152">
        <v>56338</v>
      </c>
      <c r="H152">
        <v>2066</v>
      </c>
      <c r="I152">
        <v>157</v>
      </c>
      <c r="J152">
        <v>5138.09</v>
      </c>
      <c r="K152">
        <f t="shared" si="19"/>
        <v>3.6671518335759172</v>
      </c>
      <c r="L152">
        <f t="shared" si="20"/>
        <v>3.9525217812197484</v>
      </c>
      <c r="M152">
        <f t="shared" si="18"/>
        <v>52.012165605095539</v>
      </c>
      <c r="N152">
        <f t="shared" si="21"/>
        <v>0.62921217598528523</v>
      </c>
      <c r="O152">
        <f t="shared" si="22"/>
        <v>-3027.8199999999997</v>
      </c>
      <c r="P152">
        <f t="shared" si="23"/>
        <v>-816591</v>
      </c>
      <c r="Q152">
        <f t="shared" si="24"/>
        <v>2025</v>
      </c>
      <c r="R152">
        <f t="shared" si="25"/>
        <v>5</v>
      </c>
      <c r="S152">
        <f t="shared" si="26"/>
        <v>7.5992255566311711</v>
      </c>
    </row>
    <row r="153" spans="1:19" x14ac:dyDescent="0.3">
      <c r="A153" t="s">
        <v>161</v>
      </c>
      <c r="B153" s="2">
        <v>45691</v>
      </c>
      <c r="C153" t="s">
        <v>511</v>
      </c>
      <c r="D153" t="s">
        <v>518</v>
      </c>
      <c r="E153">
        <v>9344.48</v>
      </c>
      <c r="F153">
        <v>7787.31</v>
      </c>
      <c r="G153">
        <v>168488</v>
      </c>
      <c r="H153">
        <v>6718</v>
      </c>
      <c r="I153">
        <v>131</v>
      </c>
      <c r="J153">
        <v>4556.0200000000004</v>
      </c>
      <c r="K153">
        <f t="shared" si="19"/>
        <v>3.9872275770381274</v>
      </c>
      <c r="L153">
        <f t="shared" si="20"/>
        <v>1.1591708841917239</v>
      </c>
      <c r="M153">
        <f t="shared" si="18"/>
        <v>59.445114503816797</v>
      </c>
      <c r="N153">
        <f t="shared" si="21"/>
        <v>0.58505697089238773</v>
      </c>
      <c r="O153">
        <f t="shared" si="22"/>
        <v>-3231.29</v>
      </c>
      <c r="P153">
        <f t="shared" si="23"/>
        <v>-778731</v>
      </c>
      <c r="Q153">
        <f t="shared" si="24"/>
        <v>2025</v>
      </c>
      <c r="R153">
        <f t="shared" si="25"/>
        <v>2</v>
      </c>
      <c r="S153">
        <f t="shared" si="26"/>
        <v>1.9499851146174456</v>
      </c>
    </row>
    <row r="154" spans="1:19" x14ac:dyDescent="0.3">
      <c r="A154" t="s">
        <v>162</v>
      </c>
      <c r="B154" s="2">
        <v>45663</v>
      </c>
      <c r="C154" t="s">
        <v>514</v>
      </c>
      <c r="D154" t="s">
        <v>517</v>
      </c>
      <c r="E154">
        <v>3079.48</v>
      </c>
      <c r="F154">
        <v>2896.55</v>
      </c>
      <c r="G154">
        <v>70782</v>
      </c>
      <c r="H154">
        <v>3197</v>
      </c>
      <c r="I154">
        <v>540</v>
      </c>
      <c r="J154">
        <v>11712.11</v>
      </c>
      <c r="K154">
        <f t="shared" si="19"/>
        <v>4.5166850329179731</v>
      </c>
      <c r="L154">
        <f t="shared" si="20"/>
        <v>0.90602126994056931</v>
      </c>
      <c r="M154">
        <f t="shared" si="18"/>
        <v>5.3639814814814821</v>
      </c>
      <c r="N154">
        <f t="shared" si="21"/>
        <v>4.0434689544458058</v>
      </c>
      <c r="O154">
        <f t="shared" si="22"/>
        <v>8815.5600000000013</v>
      </c>
      <c r="P154">
        <f t="shared" si="23"/>
        <v>-289654.99999999994</v>
      </c>
      <c r="Q154">
        <f t="shared" si="24"/>
        <v>2025</v>
      </c>
      <c r="R154">
        <f t="shared" si="25"/>
        <v>1</v>
      </c>
      <c r="S154">
        <f t="shared" si="26"/>
        <v>16.890835157960588</v>
      </c>
    </row>
    <row r="155" spans="1:19" x14ac:dyDescent="0.3">
      <c r="A155" t="s">
        <v>163</v>
      </c>
      <c r="B155" s="2">
        <v>45661</v>
      </c>
      <c r="C155" t="s">
        <v>514</v>
      </c>
      <c r="D155" t="s">
        <v>518</v>
      </c>
      <c r="E155">
        <v>3831.73</v>
      </c>
      <c r="F155">
        <v>3200.48</v>
      </c>
      <c r="G155">
        <v>187830</v>
      </c>
      <c r="H155">
        <v>5038</v>
      </c>
      <c r="I155">
        <v>56</v>
      </c>
      <c r="J155">
        <v>2210.67</v>
      </c>
      <c r="K155">
        <f t="shared" si="19"/>
        <v>2.6822126390885375</v>
      </c>
      <c r="L155">
        <f t="shared" si="20"/>
        <v>0.63526796347757042</v>
      </c>
      <c r="M155">
        <f t="shared" si="18"/>
        <v>57.151428571428575</v>
      </c>
      <c r="N155">
        <f t="shared" si="21"/>
        <v>0.69073076538519229</v>
      </c>
      <c r="O155">
        <f t="shared" si="22"/>
        <v>-989.81</v>
      </c>
      <c r="P155">
        <f t="shared" si="23"/>
        <v>-320048</v>
      </c>
      <c r="Q155">
        <f t="shared" si="24"/>
        <v>2025</v>
      </c>
      <c r="R155">
        <f t="shared" si="25"/>
        <v>1</v>
      </c>
      <c r="S155">
        <f t="shared" si="26"/>
        <v>1.1115522032552601</v>
      </c>
    </row>
    <row r="156" spans="1:19" x14ac:dyDescent="0.3">
      <c r="A156" t="s">
        <v>164</v>
      </c>
      <c r="B156" s="2">
        <v>45668</v>
      </c>
      <c r="C156" t="s">
        <v>514</v>
      </c>
      <c r="D156" t="s">
        <v>517</v>
      </c>
      <c r="E156">
        <v>8222.31</v>
      </c>
      <c r="F156">
        <v>8016.84</v>
      </c>
      <c r="G156">
        <v>77085</v>
      </c>
      <c r="H156">
        <v>2592</v>
      </c>
      <c r="I156">
        <v>460</v>
      </c>
      <c r="J156">
        <v>22477.98</v>
      </c>
      <c r="K156">
        <f t="shared" si="19"/>
        <v>3.3625218914185644</v>
      </c>
      <c r="L156">
        <f t="shared" si="20"/>
        <v>3.0929166666666665</v>
      </c>
      <c r="M156">
        <f t="shared" si="18"/>
        <v>17.427913043478259</v>
      </c>
      <c r="N156">
        <f t="shared" si="21"/>
        <v>2.8038454054215873</v>
      </c>
      <c r="O156">
        <f t="shared" si="22"/>
        <v>14461.14</v>
      </c>
      <c r="P156">
        <f t="shared" si="23"/>
        <v>-801684</v>
      </c>
      <c r="Q156">
        <f t="shared" si="24"/>
        <v>2025</v>
      </c>
      <c r="R156">
        <f t="shared" si="25"/>
        <v>1</v>
      </c>
      <c r="S156">
        <f t="shared" si="26"/>
        <v>17.746913580246915</v>
      </c>
    </row>
    <row r="157" spans="1:19" x14ac:dyDescent="0.3">
      <c r="A157" t="s">
        <v>165</v>
      </c>
      <c r="B157" s="2">
        <v>45814</v>
      </c>
      <c r="C157" t="s">
        <v>510</v>
      </c>
      <c r="D157" t="s">
        <v>515</v>
      </c>
      <c r="E157">
        <v>5624.09</v>
      </c>
      <c r="F157">
        <v>4981.33</v>
      </c>
      <c r="G157">
        <v>181387</v>
      </c>
      <c r="H157">
        <v>7602</v>
      </c>
      <c r="I157">
        <v>1490</v>
      </c>
      <c r="J157">
        <v>68626.38</v>
      </c>
      <c r="K157">
        <f t="shared" si="19"/>
        <v>4.191039049104953</v>
      </c>
      <c r="L157">
        <f t="shared" si="20"/>
        <v>0.65526571954748747</v>
      </c>
      <c r="M157">
        <f t="shared" si="18"/>
        <v>3.3431744966442953</v>
      </c>
      <c r="N157">
        <f t="shared" si="21"/>
        <v>13.776718266005265</v>
      </c>
      <c r="O157">
        <f t="shared" si="22"/>
        <v>63645.05</v>
      </c>
      <c r="P157">
        <f t="shared" si="23"/>
        <v>-498133.00000000017</v>
      </c>
      <c r="Q157">
        <f t="shared" si="24"/>
        <v>2025</v>
      </c>
      <c r="R157">
        <f t="shared" si="25"/>
        <v>6</v>
      </c>
      <c r="S157">
        <f t="shared" si="26"/>
        <v>19.600105235464351</v>
      </c>
    </row>
    <row r="158" spans="1:19" x14ac:dyDescent="0.3">
      <c r="A158" t="s">
        <v>166</v>
      </c>
      <c r="B158" s="2">
        <v>45785</v>
      </c>
      <c r="C158" t="s">
        <v>511</v>
      </c>
      <c r="D158" t="s">
        <v>518</v>
      </c>
      <c r="E158">
        <v>4565.17</v>
      </c>
      <c r="F158">
        <v>4971.32</v>
      </c>
      <c r="G158">
        <v>161384</v>
      </c>
      <c r="H158">
        <v>4375</v>
      </c>
      <c r="I158">
        <v>117</v>
      </c>
      <c r="J158">
        <v>2382.66</v>
      </c>
      <c r="K158">
        <f t="shared" si="19"/>
        <v>2.7109254944728098</v>
      </c>
      <c r="L158">
        <f t="shared" si="20"/>
        <v>1.1363017142857141</v>
      </c>
      <c r="M158">
        <f t="shared" si="18"/>
        <v>42.489914529914529</v>
      </c>
      <c r="N158">
        <f t="shared" si="21"/>
        <v>0.47928115671491678</v>
      </c>
      <c r="O158">
        <f t="shared" si="22"/>
        <v>-2588.66</v>
      </c>
      <c r="P158">
        <f t="shared" si="23"/>
        <v>-497132</v>
      </c>
      <c r="Q158">
        <f t="shared" si="24"/>
        <v>2025</v>
      </c>
      <c r="R158">
        <f t="shared" si="25"/>
        <v>5</v>
      </c>
      <c r="S158">
        <f t="shared" si="26"/>
        <v>2.6742857142857139</v>
      </c>
    </row>
    <row r="159" spans="1:19" x14ac:dyDescent="0.3">
      <c r="A159" t="s">
        <v>167</v>
      </c>
      <c r="B159" s="2">
        <v>45710</v>
      </c>
      <c r="C159" t="s">
        <v>512</v>
      </c>
      <c r="D159" t="s">
        <v>516</v>
      </c>
      <c r="E159">
        <v>9789.15</v>
      </c>
      <c r="F159">
        <v>7958.07</v>
      </c>
      <c r="G159">
        <v>115218</v>
      </c>
      <c r="H159">
        <v>1614</v>
      </c>
      <c r="I159">
        <v>62</v>
      </c>
      <c r="J159">
        <v>2897.53</v>
      </c>
      <c r="K159">
        <f t="shared" si="19"/>
        <v>1.4008227881060251</v>
      </c>
      <c r="L159">
        <f t="shared" si="20"/>
        <v>4.9306505576208179</v>
      </c>
      <c r="M159">
        <f t="shared" si="18"/>
        <v>128.35596774193547</v>
      </c>
      <c r="N159">
        <f t="shared" si="21"/>
        <v>0.36409958696015493</v>
      </c>
      <c r="O159">
        <f t="shared" si="22"/>
        <v>-5060.5399999999991</v>
      </c>
      <c r="P159">
        <f t="shared" si="23"/>
        <v>-795807</v>
      </c>
      <c r="Q159">
        <f t="shared" si="24"/>
        <v>2025</v>
      </c>
      <c r="R159">
        <f t="shared" si="25"/>
        <v>2</v>
      </c>
      <c r="S159">
        <f t="shared" si="26"/>
        <v>3.8413878562577448</v>
      </c>
    </row>
    <row r="160" spans="1:19" x14ac:dyDescent="0.3">
      <c r="A160" t="s">
        <v>168</v>
      </c>
      <c r="B160" s="2">
        <v>45762</v>
      </c>
      <c r="C160" t="s">
        <v>514</v>
      </c>
      <c r="D160" t="s">
        <v>518</v>
      </c>
      <c r="E160">
        <v>6693.91</v>
      </c>
      <c r="F160">
        <v>7349.17</v>
      </c>
      <c r="G160">
        <v>86944</v>
      </c>
      <c r="H160">
        <v>1292</v>
      </c>
      <c r="I160">
        <v>250</v>
      </c>
      <c r="J160">
        <v>5553.47</v>
      </c>
      <c r="K160">
        <f t="shared" si="19"/>
        <v>1.486013986013986</v>
      </c>
      <c r="L160">
        <f t="shared" si="20"/>
        <v>5.6882120743034053</v>
      </c>
      <c r="M160">
        <f t="shared" si="18"/>
        <v>29.39668</v>
      </c>
      <c r="N160">
        <f t="shared" si="21"/>
        <v>0.75565948263545413</v>
      </c>
      <c r="O160">
        <f t="shared" si="22"/>
        <v>-1795.6999999999998</v>
      </c>
      <c r="P160">
        <f t="shared" si="23"/>
        <v>-734917</v>
      </c>
      <c r="Q160">
        <f t="shared" si="24"/>
        <v>2025</v>
      </c>
      <c r="R160">
        <f t="shared" si="25"/>
        <v>4</v>
      </c>
      <c r="S160">
        <f t="shared" si="26"/>
        <v>19.349845201238391</v>
      </c>
    </row>
    <row r="161" spans="1:19" x14ac:dyDescent="0.3">
      <c r="A161" t="s">
        <v>169</v>
      </c>
      <c r="B161" s="2">
        <v>45778</v>
      </c>
      <c r="C161" t="s">
        <v>510</v>
      </c>
      <c r="D161" t="s">
        <v>517</v>
      </c>
      <c r="E161">
        <v>6876.98</v>
      </c>
      <c r="F161">
        <v>7501.35</v>
      </c>
      <c r="G161">
        <v>126890</v>
      </c>
      <c r="H161">
        <v>3074</v>
      </c>
      <c r="I161">
        <v>614</v>
      </c>
      <c r="J161">
        <v>21915.46</v>
      </c>
      <c r="K161">
        <f t="shared" si="19"/>
        <v>2.4225707305540229</v>
      </c>
      <c r="L161">
        <f t="shared" si="20"/>
        <v>2.4402569941444372</v>
      </c>
      <c r="M161">
        <f t="shared" si="18"/>
        <v>12.217182410423453</v>
      </c>
      <c r="N161">
        <f t="shared" si="21"/>
        <v>2.9215354569510819</v>
      </c>
      <c r="O161">
        <f t="shared" si="22"/>
        <v>14414.109999999999</v>
      </c>
      <c r="P161">
        <f t="shared" si="23"/>
        <v>-750135</v>
      </c>
      <c r="Q161">
        <f t="shared" si="24"/>
        <v>2025</v>
      </c>
      <c r="R161">
        <f t="shared" si="25"/>
        <v>5</v>
      </c>
      <c r="S161">
        <f t="shared" si="26"/>
        <v>19.973975276512686</v>
      </c>
    </row>
    <row r="162" spans="1:19" x14ac:dyDescent="0.3">
      <c r="A162" t="s">
        <v>170</v>
      </c>
      <c r="B162" s="2">
        <v>45783</v>
      </c>
      <c r="C162" t="s">
        <v>510</v>
      </c>
      <c r="D162" t="s">
        <v>516</v>
      </c>
      <c r="E162">
        <v>7405.79</v>
      </c>
      <c r="F162">
        <v>7470.4</v>
      </c>
      <c r="G162">
        <v>119094</v>
      </c>
      <c r="H162">
        <v>5829</v>
      </c>
      <c r="I162">
        <v>550</v>
      </c>
      <c r="J162">
        <v>18499.93</v>
      </c>
      <c r="K162">
        <f t="shared" si="19"/>
        <v>4.8944531210640339</v>
      </c>
      <c r="L162">
        <f t="shared" si="20"/>
        <v>1.281592039800995</v>
      </c>
      <c r="M162">
        <f t="shared" si="18"/>
        <v>13.582545454545453</v>
      </c>
      <c r="N162">
        <f t="shared" si="21"/>
        <v>2.4764309809381024</v>
      </c>
      <c r="O162">
        <f t="shared" si="22"/>
        <v>11029.53</v>
      </c>
      <c r="P162">
        <f t="shared" si="23"/>
        <v>-747040</v>
      </c>
      <c r="Q162">
        <f t="shared" si="24"/>
        <v>2025</v>
      </c>
      <c r="R162">
        <f t="shared" si="25"/>
        <v>5</v>
      </c>
      <c r="S162">
        <f t="shared" si="26"/>
        <v>9.4355807171041342</v>
      </c>
    </row>
    <row r="163" spans="1:19" x14ac:dyDescent="0.3">
      <c r="A163" t="s">
        <v>171</v>
      </c>
      <c r="B163" s="2">
        <v>45739</v>
      </c>
      <c r="C163" t="s">
        <v>510</v>
      </c>
      <c r="D163" t="s">
        <v>517</v>
      </c>
      <c r="E163">
        <v>7392.91</v>
      </c>
      <c r="F163">
        <v>7210.26</v>
      </c>
      <c r="G163">
        <v>120570</v>
      </c>
      <c r="H163">
        <v>1495</v>
      </c>
      <c r="I163">
        <v>104</v>
      </c>
      <c r="J163">
        <v>4891.6099999999997</v>
      </c>
      <c r="K163">
        <f t="shared" si="19"/>
        <v>1.2399436012275027</v>
      </c>
      <c r="L163">
        <f t="shared" si="20"/>
        <v>4.8229163879598662</v>
      </c>
      <c r="M163">
        <f t="shared" si="18"/>
        <v>69.329423076923078</v>
      </c>
      <c r="N163">
        <f t="shared" si="21"/>
        <v>0.67842352425571328</v>
      </c>
      <c r="O163">
        <f t="shared" si="22"/>
        <v>-2318.6500000000005</v>
      </c>
      <c r="P163">
        <f t="shared" si="23"/>
        <v>-721026</v>
      </c>
      <c r="Q163">
        <f t="shared" si="24"/>
        <v>2025</v>
      </c>
      <c r="R163">
        <f t="shared" si="25"/>
        <v>3</v>
      </c>
      <c r="S163">
        <f t="shared" si="26"/>
        <v>6.9565217391304346</v>
      </c>
    </row>
    <row r="164" spans="1:19" x14ac:dyDescent="0.3">
      <c r="A164" t="s">
        <v>172</v>
      </c>
      <c r="B164" s="2">
        <v>45718</v>
      </c>
      <c r="C164" t="s">
        <v>514</v>
      </c>
      <c r="D164" t="s">
        <v>515</v>
      </c>
      <c r="E164">
        <v>3318.12</v>
      </c>
      <c r="F164">
        <v>2934.18</v>
      </c>
      <c r="G164">
        <v>173652</v>
      </c>
      <c r="H164">
        <v>3397</v>
      </c>
      <c r="I164">
        <v>329</v>
      </c>
      <c r="J164">
        <v>15960.56</v>
      </c>
      <c r="K164">
        <f t="shared" si="19"/>
        <v>1.9562112731209544</v>
      </c>
      <c r="L164">
        <f t="shared" si="20"/>
        <v>0.86375625551957602</v>
      </c>
      <c r="M164">
        <f t="shared" si="18"/>
        <v>8.9184802431610937</v>
      </c>
      <c r="N164">
        <f t="shared" si="21"/>
        <v>5.4395299538542288</v>
      </c>
      <c r="O164">
        <f t="shared" si="22"/>
        <v>13026.38</v>
      </c>
      <c r="P164">
        <f t="shared" si="23"/>
        <v>-293418</v>
      </c>
      <c r="Q164">
        <f t="shared" si="24"/>
        <v>2025</v>
      </c>
      <c r="R164">
        <f t="shared" si="25"/>
        <v>3</v>
      </c>
      <c r="S164">
        <f t="shared" si="26"/>
        <v>9.6850161907565493</v>
      </c>
    </row>
    <row r="165" spans="1:19" x14ac:dyDescent="0.3">
      <c r="A165" t="s">
        <v>173</v>
      </c>
      <c r="B165" s="2">
        <v>45698</v>
      </c>
      <c r="C165" t="s">
        <v>513</v>
      </c>
      <c r="D165" t="s">
        <v>518</v>
      </c>
      <c r="E165">
        <v>9231.85</v>
      </c>
      <c r="F165">
        <v>8647.4500000000007</v>
      </c>
      <c r="G165">
        <v>53244</v>
      </c>
      <c r="H165">
        <v>1838</v>
      </c>
      <c r="I165">
        <v>273</v>
      </c>
      <c r="J165">
        <v>10538.89</v>
      </c>
      <c r="K165">
        <f t="shared" si="19"/>
        <v>3.4520321538577119</v>
      </c>
      <c r="L165">
        <f t="shared" si="20"/>
        <v>4.7048150163220894</v>
      </c>
      <c r="M165">
        <f t="shared" si="18"/>
        <v>31.675641025641028</v>
      </c>
      <c r="N165">
        <f t="shared" si="21"/>
        <v>1.2187280643426672</v>
      </c>
      <c r="O165">
        <f t="shared" si="22"/>
        <v>1891.4399999999987</v>
      </c>
      <c r="P165">
        <f t="shared" si="23"/>
        <v>-864745.00000000012</v>
      </c>
      <c r="Q165">
        <f t="shared" si="24"/>
        <v>2025</v>
      </c>
      <c r="R165">
        <f t="shared" si="25"/>
        <v>2</v>
      </c>
      <c r="S165">
        <f t="shared" si="26"/>
        <v>14.853101196953212</v>
      </c>
    </row>
    <row r="166" spans="1:19" x14ac:dyDescent="0.3">
      <c r="A166" t="s">
        <v>174</v>
      </c>
      <c r="B166" s="2">
        <v>45667</v>
      </c>
      <c r="C166" t="s">
        <v>510</v>
      </c>
      <c r="D166" t="s">
        <v>517</v>
      </c>
      <c r="E166">
        <v>4941.67</v>
      </c>
      <c r="F166">
        <v>4232.2299999999996</v>
      </c>
      <c r="G166">
        <v>197753</v>
      </c>
      <c r="H166">
        <v>3883</v>
      </c>
      <c r="I166">
        <v>619</v>
      </c>
      <c r="J166">
        <v>20990.880000000001</v>
      </c>
      <c r="K166">
        <f t="shared" si="19"/>
        <v>1.9635606033789628</v>
      </c>
      <c r="L166">
        <f t="shared" si="20"/>
        <v>1.0899381921194951</v>
      </c>
      <c r="M166">
        <f t="shared" si="18"/>
        <v>6.8372051696284322</v>
      </c>
      <c r="N166">
        <f t="shared" si="21"/>
        <v>4.959768254560835</v>
      </c>
      <c r="O166">
        <f t="shared" si="22"/>
        <v>16758.650000000001</v>
      </c>
      <c r="P166">
        <f t="shared" si="23"/>
        <v>-423222.99999999994</v>
      </c>
      <c r="Q166">
        <f t="shared" si="24"/>
        <v>2025</v>
      </c>
      <c r="R166">
        <f t="shared" si="25"/>
        <v>1</v>
      </c>
      <c r="S166">
        <f t="shared" si="26"/>
        <v>15.941282513520475</v>
      </c>
    </row>
    <row r="167" spans="1:19" x14ac:dyDescent="0.3">
      <c r="A167" t="s">
        <v>175</v>
      </c>
      <c r="B167" s="2">
        <v>45716</v>
      </c>
      <c r="C167" t="s">
        <v>512</v>
      </c>
      <c r="D167" t="s">
        <v>518</v>
      </c>
      <c r="E167">
        <v>5473.47</v>
      </c>
      <c r="F167">
        <v>5337.16</v>
      </c>
      <c r="G167">
        <v>95888</v>
      </c>
      <c r="H167">
        <v>2400</v>
      </c>
      <c r="I167">
        <v>189</v>
      </c>
      <c r="J167">
        <v>4220.76</v>
      </c>
      <c r="K167">
        <f t="shared" si="19"/>
        <v>2.5029200734189887</v>
      </c>
      <c r="L167">
        <f t="shared" si="20"/>
        <v>2.2238166666666666</v>
      </c>
      <c r="M167">
        <f t="shared" si="18"/>
        <v>28.238941798941799</v>
      </c>
      <c r="N167">
        <f t="shared" si="21"/>
        <v>0.79082508300294541</v>
      </c>
      <c r="O167">
        <f t="shared" si="22"/>
        <v>-1116.3999999999996</v>
      </c>
      <c r="P167">
        <f t="shared" si="23"/>
        <v>-533716</v>
      </c>
      <c r="Q167">
        <f t="shared" si="24"/>
        <v>2025</v>
      </c>
      <c r="R167">
        <f t="shared" si="25"/>
        <v>2</v>
      </c>
      <c r="S167">
        <f t="shared" si="26"/>
        <v>7.875</v>
      </c>
    </row>
    <row r="168" spans="1:19" x14ac:dyDescent="0.3">
      <c r="A168" t="s">
        <v>176</v>
      </c>
      <c r="B168" s="2">
        <v>45720</v>
      </c>
      <c r="C168" t="s">
        <v>513</v>
      </c>
      <c r="D168" t="s">
        <v>517</v>
      </c>
      <c r="E168">
        <v>9820.76</v>
      </c>
      <c r="F168">
        <v>10762.21</v>
      </c>
      <c r="G168">
        <v>130274</v>
      </c>
      <c r="H168">
        <v>3999</v>
      </c>
      <c r="I168">
        <v>83</v>
      </c>
      <c r="J168">
        <v>3398.42</v>
      </c>
      <c r="K168">
        <f t="shared" si="19"/>
        <v>3.0696838970170561</v>
      </c>
      <c r="L168">
        <f t="shared" si="20"/>
        <v>2.6912253063265816</v>
      </c>
      <c r="M168">
        <f t="shared" si="18"/>
        <v>129.66518072289156</v>
      </c>
      <c r="N168">
        <f t="shared" si="21"/>
        <v>0.31577343315174117</v>
      </c>
      <c r="O168">
        <f t="shared" si="22"/>
        <v>-7363.7899999999991</v>
      </c>
      <c r="P168">
        <f t="shared" si="23"/>
        <v>-1076221</v>
      </c>
      <c r="Q168">
        <f t="shared" si="24"/>
        <v>2025</v>
      </c>
      <c r="R168">
        <f t="shared" si="25"/>
        <v>3</v>
      </c>
      <c r="S168">
        <f t="shared" si="26"/>
        <v>2.07551887971993</v>
      </c>
    </row>
    <row r="169" spans="1:19" x14ac:dyDescent="0.3">
      <c r="A169" t="s">
        <v>177</v>
      </c>
      <c r="B169" s="2">
        <v>45806</v>
      </c>
      <c r="C169" t="s">
        <v>511</v>
      </c>
      <c r="D169" t="s">
        <v>515</v>
      </c>
      <c r="E169">
        <v>6752.67</v>
      </c>
      <c r="F169">
        <v>6029.18</v>
      </c>
      <c r="G169">
        <v>53089</v>
      </c>
      <c r="H169">
        <v>1998</v>
      </c>
      <c r="I169">
        <v>204</v>
      </c>
      <c r="J169">
        <v>9060.43</v>
      </c>
      <c r="K169">
        <f t="shared" si="19"/>
        <v>3.7634914954133625</v>
      </c>
      <c r="L169">
        <f t="shared" si="20"/>
        <v>3.0176076076076077</v>
      </c>
      <c r="M169">
        <f t="shared" si="18"/>
        <v>29.554803921568627</v>
      </c>
      <c r="N169">
        <f t="shared" si="21"/>
        <v>1.5027632281670145</v>
      </c>
      <c r="O169">
        <f t="shared" si="22"/>
        <v>3031.25</v>
      </c>
      <c r="P169">
        <f t="shared" si="23"/>
        <v>-602918</v>
      </c>
      <c r="Q169">
        <f t="shared" si="24"/>
        <v>2025</v>
      </c>
      <c r="R169">
        <f t="shared" si="25"/>
        <v>5</v>
      </c>
      <c r="S169">
        <f t="shared" si="26"/>
        <v>10.21021021021021</v>
      </c>
    </row>
    <row r="170" spans="1:19" x14ac:dyDescent="0.3">
      <c r="A170" t="s">
        <v>178</v>
      </c>
      <c r="B170" s="2">
        <v>45770</v>
      </c>
      <c r="C170" t="s">
        <v>514</v>
      </c>
      <c r="D170" t="s">
        <v>516</v>
      </c>
      <c r="E170">
        <v>7793.12</v>
      </c>
      <c r="F170">
        <v>6614.68</v>
      </c>
      <c r="G170">
        <v>110033</v>
      </c>
      <c r="H170">
        <v>3132</v>
      </c>
      <c r="I170">
        <v>85</v>
      </c>
      <c r="J170">
        <v>4022.86</v>
      </c>
      <c r="K170">
        <f t="shared" si="19"/>
        <v>2.8464188016322374</v>
      </c>
      <c r="L170">
        <f t="shared" si="20"/>
        <v>2.1119667943805878</v>
      </c>
      <c r="M170">
        <f t="shared" si="18"/>
        <v>77.819764705882363</v>
      </c>
      <c r="N170">
        <f t="shared" si="21"/>
        <v>0.60817152152485077</v>
      </c>
      <c r="O170">
        <f t="shared" si="22"/>
        <v>-2591.8200000000002</v>
      </c>
      <c r="P170">
        <f t="shared" si="23"/>
        <v>-661468</v>
      </c>
      <c r="Q170">
        <f t="shared" si="24"/>
        <v>2025</v>
      </c>
      <c r="R170">
        <f t="shared" si="25"/>
        <v>4</v>
      </c>
      <c r="S170">
        <f t="shared" si="26"/>
        <v>2.7139208173690932</v>
      </c>
    </row>
    <row r="171" spans="1:19" x14ac:dyDescent="0.3">
      <c r="A171" t="s">
        <v>179</v>
      </c>
      <c r="B171" s="2">
        <v>45636</v>
      </c>
      <c r="C171" t="s">
        <v>512</v>
      </c>
      <c r="D171" t="s">
        <v>517</v>
      </c>
      <c r="E171">
        <v>8757.76</v>
      </c>
      <c r="F171">
        <v>9501.64</v>
      </c>
      <c r="G171">
        <v>75315</v>
      </c>
      <c r="H171">
        <v>1121</v>
      </c>
      <c r="I171">
        <v>85</v>
      </c>
      <c r="J171">
        <v>3550.58</v>
      </c>
      <c r="K171">
        <f t="shared" si="19"/>
        <v>1.4884153223129521</v>
      </c>
      <c r="L171">
        <f t="shared" si="20"/>
        <v>8.4760392506690447</v>
      </c>
      <c r="M171">
        <f t="shared" si="18"/>
        <v>111.78399999999999</v>
      </c>
      <c r="N171">
        <f t="shared" si="21"/>
        <v>0.37368075405929924</v>
      </c>
      <c r="O171">
        <f t="shared" si="22"/>
        <v>-5951.0599999999995</v>
      </c>
      <c r="P171">
        <f t="shared" si="23"/>
        <v>-950164</v>
      </c>
      <c r="Q171">
        <f t="shared" si="24"/>
        <v>2024</v>
      </c>
      <c r="R171">
        <f t="shared" si="25"/>
        <v>12</v>
      </c>
      <c r="S171">
        <f t="shared" si="26"/>
        <v>7.5825156110615524</v>
      </c>
    </row>
    <row r="172" spans="1:19" x14ac:dyDescent="0.3">
      <c r="A172" t="s">
        <v>180</v>
      </c>
      <c r="B172" s="2">
        <v>45816</v>
      </c>
      <c r="C172" t="s">
        <v>511</v>
      </c>
      <c r="D172" t="s">
        <v>515</v>
      </c>
      <c r="E172">
        <v>7293.91</v>
      </c>
      <c r="F172">
        <v>6750.32</v>
      </c>
      <c r="G172">
        <v>194023</v>
      </c>
      <c r="H172">
        <v>9171</v>
      </c>
      <c r="I172">
        <v>1138</v>
      </c>
      <c r="J172">
        <v>54603.35</v>
      </c>
      <c r="K172">
        <f t="shared" si="19"/>
        <v>4.7267591986517061</v>
      </c>
      <c r="L172">
        <f t="shared" si="20"/>
        <v>0.73605059426452946</v>
      </c>
      <c r="M172">
        <f t="shared" si="18"/>
        <v>5.9317398945518454</v>
      </c>
      <c r="N172">
        <f t="shared" si="21"/>
        <v>8.089001706585762</v>
      </c>
      <c r="O172">
        <f t="shared" si="22"/>
        <v>47853.03</v>
      </c>
      <c r="P172">
        <f t="shared" si="23"/>
        <v>-675032</v>
      </c>
      <c r="Q172">
        <f t="shared" si="24"/>
        <v>2025</v>
      </c>
      <c r="R172">
        <f t="shared" si="25"/>
        <v>6</v>
      </c>
      <c r="S172">
        <f t="shared" si="26"/>
        <v>12.408679533311526</v>
      </c>
    </row>
    <row r="173" spans="1:19" x14ac:dyDescent="0.3">
      <c r="A173" t="s">
        <v>181</v>
      </c>
      <c r="B173" s="2">
        <v>45713</v>
      </c>
      <c r="C173" t="s">
        <v>512</v>
      </c>
      <c r="D173" t="s">
        <v>518</v>
      </c>
      <c r="E173">
        <v>9062.4500000000007</v>
      </c>
      <c r="F173">
        <v>7372.9</v>
      </c>
      <c r="G173">
        <v>105156</v>
      </c>
      <c r="H173">
        <v>3813</v>
      </c>
      <c r="I173">
        <v>632</v>
      </c>
      <c r="J173">
        <v>13139.92</v>
      </c>
      <c r="K173">
        <f t="shared" si="19"/>
        <v>3.6260413100536351</v>
      </c>
      <c r="L173">
        <f t="shared" si="20"/>
        <v>1.9336218200891686</v>
      </c>
      <c r="M173">
        <f t="shared" si="18"/>
        <v>11.665981012658227</v>
      </c>
      <c r="N173">
        <f t="shared" si="21"/>
        <v>1.7821915392857628</v>
      </c>
      <c r="O173">
        <f t="shared" si="22"/>
        <v>5767.02</v>
      </c>
      <c r="P173">
        <f t="shared" si="23"/>
        <v>-737290</v>
      </c>
      <c r="Q173">
        <f t="shared" si="24"/>
        <v>2025</v>
      </c>
      <c r="R173">
        <f t="shared" si="25"/>
        <v>2</v>
      </c>
      <c r="S173">
        <f t="shared" si="26"/>
        <v>16.574875426173616</v>
      </c>
    </row>
    <row r="174" spans="1:19" x14ac:dyDescent="0.3">
      <c r="A174" t="s">
        <v>182</v>
      </c>
      <c r="B174" s="2">
        <v>45781</v>
      </c>
      <c r="C174" t="s">
        <v>513</v>
      </c>
      <c r="D174" t="s">
        <v>517</v>
      </c>
      <c r="E174">
        <v>5635.24</v>
      </c>
      <c r="F174">
        <v>5878.49</v>
      </c>
      <c r="G174">
        <v>136337</v>
      </c>
      <c r="H174">
        <v>3490</v>
      </c>
      <c r="I174">
        <v>132</v>
      </c>
      <c r="J174">
        <v>6549.61</v>
      </c>
      <c r="K174">
        <f t="shared" si="19"/>
        <v>2.5598333541151703</v>
      </c>
      <c r="L174">
        <f t="shared" si="20"/>
        <v>1.6843810888252149</v>
      </c>
      <c r="M174">
        <f t="shared" si="18"/>
        <v>44.534015151515149</v>
      </c>
      <c r="N174">
        <f t="shared" si="21"/>
        <v>1.1141653724000551</v>
      </c>
      <c r="O174">
        <f t="shared" si="22"/>
        <v>671.11999999999989</v>
      </c>
      <c r="P174">
        <f t="shared" si="23"/>
        <v>-587849</v>
      </c>
      <c r="Q174">
        <f t="shared" si="24"/>
        <v>2025</v>
      </c>
      <c r="R174">
        <f t="shared" si="25"/>
        <v>5</v>
      </c>
      <c r="S174">
        <f t="shared" si="26"/>
        <v>3.7822349570200573</v>
      </c>
    </row>
    <row r="175" spans="1:19" x14ac:dyDescent="0.3">
      <c r="A175" t="s">
        <v>183</v>
      </c>
      <c r="B175" s="2">
        <v>45708</v>
      </c>
      <c r="C175" t="s">
        <v>511</v>
      </c>
      <c r="D175" t="s">
        <v>518</v>
      </c>
      <c r="E175">
        <v>4052.92</v>
      </c>
      <c r="F175">
        <v>3964.73</v>
      </c>
      <c r="G175">
        <v>191309</v>
      </c>
      <c r="H175">
        <v>5182</v>
      </c>
      <c r="I175">
        <v>356</v>
      </c>
      <c r="J175">
        <v>11187.91</v>
      </c>
      <c r="K175">
        <f t="shared" si="19"/>
        <v>2.7087068564469003</v>
      </c>
      <c r="L175">
        <f t="shared" si="20"/>
        <v>0.76509648784253181</v>
      </c>
      <c r="M175">
        <f t="shared" si="18"/>
        <v>11.136882022471911</v>
      </c>
      <c r="N175">
        <f t="shared" si="21"/>
        <v>2.8218592438829377</v>
      </c>
      <c r="O175">
        <f t="shared" si="22"/>
        <v>7223.18</v>
      </c>
      <c r="P175">
        <f t="shared" si="23"/>
        <v>-396472.99999999994</v>
      </c>
      <c r="Q175">
        <f t="shared" si="24"/>
        <v>2025</v>
      </c>
      <c r="R175">
        <f t="shared" si="25"/>
        <v>2</v>
      </c>
      <c r="S175">
        <f t="shared" si="26"/>
        <v>6.8699343882670778</v>
      </c>
    </row>
    <row r="176" spans="1:19" x14ac:dyDescent="0.3">
      <c r="A176" t="s">
        <v>184</v>
      </c>
      <c r="B176" s="2">
        <v>45637</v>
      </c>
      <c r="C176" t="s">
        <v>514</v>
      </c>
      <c r="D176" t="s">
        <v>518</v>
      </c>
      <c r="E176">
        <v>9789.4</v>
      </c>
      <c r="F176">
        <v>10304.67</v>
      </c>
      <c r="G176">
        <v>143568</v>
      </c>
      <c r="H176">
        <v>6593</v>
      </c>
      <c r="I176">
        <v>869</v>
      </c>
      <c r="J176">
        <v>39235.230000000003</v>
      </c>
      <c r="K176">
        <f t="shared" si="19"/>
        <v>4.5922489691296109</v>
      </c>
      <c r="L176">
        <f t="shared" si="20"/>
        <v>1.5629713332322159</v>
      </c>
      <c r="M176">
        <f t="shared" si="18"/>
        <v>11.858078250863061</v>
      </c>
      <c r="N176">
        <f t="shared" si="21"/>
        <v>3.8075193092064086</v>
      </c>
      <c r="O176">
        <f t="shared" si="22"/>
        <v>28930.560000000005</v>
      </c>
      <c r="P176">
        <f t="shared" si="23"/>
        <v>-1030466.9999999998</v>
      </c>
      <c r="Q176">
        <f t="shared" si="24"/>
        <v>2024</v>
      </c>
      <c r="R176">
        <f t="shared" si="25"/>
        <v>12</v>
      </c>
      <c r="S176">
        <f t="shared" si="26"/>
        <v>13.18064613984529</v>
      </c>
    </row>
    <row r="177" spans="1:19" x14ac:dyDescent="0.3">
      <c r="A177" t="s">
        <v>185</v>
      </c>
      <c r="B177" s="2">
        <v>45790</v>
      </c>
      <c r="C177" t="s">
        <v>511</v>
      </c>
      <c r="D177" t="s">
        <v>515</v>
      </c>
      <c r="E177">
        <v>6280.85</v>
      </c>
      <c r="F177">
        <v>5806.31</v>
      </c>
      <c r="G177">
        <v>69711</v>
      </c>
      <c r="H177">
        <v>1173</v>
      </c>
      <c r="I177">
        <v>209</v>
      </c>
      <c r="J177">
        <v>5894.26</v>
      </c>
      <c r="K177">
        <f t="shared" si="19"/>
        <v>1.6826612729698327</v>
      </c>
      <c r="L177">
        <f t="shared" si="20"/>
        <v>4.9499658994032396</v>
      </c>
      <c r="M177">
        <f t="shared" si="18"/>
        <v>27.781387559808614</v>
      </c>
      <c r="N177">
        <f t="shared" si="21"/>
        <v>1.0151473138705993</v>
      </c>
      <c r="O177">
        <f t="shared" si="22"/>
        <v>87.949999999999818</v>
      </c>
      <c r="P177">
        <f t="shared" si="23"/>
        <v>-580631</v>
      </c>
      <c r="Q177">
        <f t="shared" si="24"/>
        <v>2025</v>
      </c>
      <c r="R177">
        <f t="shared" si="25"/>
        <v>5</v>
      </c>
      <c r="S177">
        <f t="shared" si="26"/>
        <v>17.817561807331629</v>
      </c>
    </row>
    <row r="178" spans="1:19" x14ac:dyDescent="0.3">
      <c r="A178" t="s">
        <v>186</v>
      </c>
      <c r="B178" s="2">
        <v>45766</v>
      </c>
      <c r="C178" t="s">
        <v>511</v>
      </c>
      <c r="D178" t="s">
        <v>517</v>
      </c>
      <c r="E178">
        <v>3394.63</v>
      </c>
      <c r="F178">
        <v>3596.33</v>
      </c>
      <c r="G178">
        <v>114949</v>
      </c>
      <c r="H178">
        <v>3456</v>
      </c>
      <c r="I178">
        <v>294</v>
      </c>
      <c r="J178">
        <v>13049.79</v>
      </c>
      <c r="K178">
        <f t="shared" si="19"/>
        <v>3.0065507311938338</v>
      </c>
      <c r="L178">
        <f t="shared" si="20"/>
        <v>1.0406047453703704</v>
      </c>
      <c r="M178">
        <f t="shared" si="18"/>
        <v>12.232414965986393</v>
      </c>
      <c r="N178">
        <f t="shared" si="21"/>
        <v>3.6286408644368011</v>
      </c>
      <c r="O178">
        <f t="shared" si="22"/>
        <v>9453.4600000000009</v>
      </c>
      <c r="P178">
        <f t="shared" si="23"/>
        <v>-359633</v>
      </c>
      <c r="Q178">
        <f t="shared" si="24"/>
        <v>2025</v>
      </c>
      <c r="R178">
        <f t="shared" si="25"/>
        <v>4</v>
      </c>
      <c r="S178">
        <f t="shared" si="26"/>
        <v>8.5069444444444446</v>
      </c>
    </row>
    <row r="179" spans="1:19" x14ac:dyDescent="0.3">
      <c r="A179" t="s">
        <v>187</v>
      </c>
      <c r="B179" s="2">
        <v>45768</v>
      </c>
      <c r="C179" t="s">
        <v>511</v>
      </c>
      <c r="D179" t="s">
        <v>517</v>
      </c>
      <c r="E179">
        <v>9998.02</v>
      </c>
      <c r="F179">
        <v>10987.73</v>
      </c>
      <c r="G179">
        <v>128670</v>
      </c>
      <c r="H179">
        <v>4786</v>
      </c>
      <c r="I179">
        <v>820</v>
      </c>
      <c r="J179">
        <v>30063.62</v>
      </c>
      <c r="K179">
        <f t="shared" si="19"/>
        <v>3.7195927566643352</v>
      </c>
      <c r="L179">
        <f t="shared" si="20"/>
        <v>2.29580651901379</v>
      </c>
      <c r="M179">
        <f t="shared" si="18"/>
        <v>13.399670731707317</v>
      </c>
      <c r="N179">
        <f t="shared" si="21"/>
        <v>2.7361083681524754</v>
      </c>
      <c r="O179">
        <f t="shared" si="22"/>
        <v>19075.89</v>
      </c>
      <c r="P179">
        <f t="shared" si="23"/>
        <v>-1098773</v>
      </c>
      <c r="Q179">
        <f t="shared" si="24"/>
        <v>2025</v>
      </c>
      <c r="R179">
        <f t="shared" si="25"/>
        <v>4</v>
      </c>
      <c r="S179">
        <f t="shared" si="26"/>
        <v>17.133305474300041</v>
      </c>
    </row>
    <row r="180" spans="1:19" x14ac:dyDescent="0.3">
      <c r="A180" t="s">
        <v>188</v>
      </c>
      <c r="B180" s="2">
        <v>45646</v>
      </c>
      <c r="C180" t="s">
        <v>511</v>
      </c>
      <c r="D180" t="s">
        <v>516</v>
      </c>
      <c r="E180">
        <v>8382.91</v>
      </c>
      <c r="F180">
        <v>9082.2900000000009</v>
      </c>
      <c r="G180">
        <v>92405</v>
      </c>
      <c r="H180">
        <v>3028</v>
      </c>
      <c r="I180">
        <v>356</v>
      </c>
      <c r="J180">
        <v>16194.23</v>
      </c>
      <c r="K180">
        <f t="shared" si="19"/>
        <v>3.2768789567664087</v>
      </c>
      <c r="L180">
        <f t="shared" si="20"/>
        <v>2.9994352708058125</v>
      </c>
      <c r="M180">
        <f t="shared" si="18"/>
        <v>25.512050561797754</v>
      </c>
      <c r="N180">
        <f t="shared" si="21"/>
        <v>1.7830558152184084</v>
      </c>
      <c r="O180">
        <f t="shared" si="22"/>
        <v>7111.9399999999987</v>
      </c>
      <c r="P180">
        <f t="shared" si="23"/>
        <v>-908229.00000000012</v>
      </c>
      <c r="Q180">
        <f t="shared" si="24"/>
        <v>2024</v>
      </c>
      <c r="R180">
        <f t="shared" si="25"/>
        <v>12</v>
      </c>
      <c r="S180">
        <f t="shared" si="26"/>
        <v>11.756935270805812</v>
      </c>
    </row>
    <row r="181" spans="1:19" x14ac:dyDescent="0.3">
      <c r="A181" t="s">
        <v>189</v>
      </c>
      <c r="B181" s="2">
        <v>45708</v>
      </c>
      <c r="C181" t="s">
        <v>511</v>
      </c>
      <c r="D181" t="s">
        <v>515</v>
      </c>
      <c r="E181">
        <v>4731.4399999999996</v>
      </c>
      <c r="F181">
        <v>4424.67</v>
      </c>
      <c r="G181">
        <v>113689</v>
      </c>
      <c r="H181">
        <v>4258</v>
      </c>
      <c r="I181">
        <v>100</v>
      </c>
      <c r="J181">
        <v>2387.48</v>
      </c>
      <c r="K181">
        <f t="shared" si="19"/>
        <v>3.745305174643105</v>
      </c>
      <c r="L181">
        <f t="shared" si="20"/>
        <v>1.0391427900422734</v>
      </c>
      <c r="M181">
        <f t="shared" si="18"/>
        <v>44.246700000000004</v>
      </c>
      <c r="N181">
        <f t="shared" si="21"/>
        <v>0.53958374296840217</v>
      </c>
      <c r="O181">
        <f t="shared" si="22"/>
        <v>-2037.19</v>
      </c>
      <c r="P181">
        <f t="shared" si="23"/>
        <v>-442467</v>
      </c>
      <c r="Q181">
        <f t="shared" si="24"/>
        <v>2025</v>
      </c>
      <c r="R181">
        <f t="shared" si="25"/>
        <v>2</v>
      </c>
      <c r="S181">
        <f t="shared" si="26"/>
        <v>2.3485204321277595</v>
      </c>
    </row>
    <row r="182" spans="1:19" x14ac:dyDescent="0.3">
      <c r="A182" t="s">
        <v>190</v>
      </c>
      <c r="B182" s="2">
        <v>45696</v>
      </c>
      <c r="C182" t="s">
        <v>514</v>
      </c>
      <c r="D182" t="s">
        <v>517</v>
      </c>
      <c r="E182">
        <v>9678.36</v>
      </c>
      <c r="F182">
        <v>9502.7199999999993</v>
      </c>
      <c r="G182">
        <v>72317</v>
      </c>
      <c r="H182">
        <v>1429</v>
      </c>
      <c r="I182">
        <v>157</v>
      </c>
      <c r="J182">
        <v>4216.91</v>
      </c>
      <c r="K182">
        <f t="shared" si="19"/>
        <v>1.9760222354356514</v>
      </c>
      <c r="L182">
        <f t="shared" si="20"/>
        <v>6.6499090272918124</v>
      </c>
      <c r="M182">
        <f t="shared" si="18"/>
        <v>60.526878980891716</v>
      </c>
      <c r="N182">
        <f t="shared" si="21"/>
        <v>0.44375820817618539</v>
      </c>
      <c r="O182">
        <f t="shared" si="22"/>
        <v>-5285.8099999999995</v>
      </c>
      <c r="P182">
        <f t="shared" si="23"/>
        <v>-950271.99999999988</v>
      </c>
      <c r="Q182">
        <f t="shared" si="24"/>
        <v>2025</v>
      </c>
      <c r="R182">
        <f t="shared" si="25"/>
        <v>2</v>
      </c>
      <c r="S182">
        <f t="shared" si="26"/>
        <v>10.98670398880336</v>
      </c>
    </row>
    <row r="183" spans="1:19" x14ac:dyDescent="0.3">
      <c r="A183" t="s">
        <v>191</v>
      </c>
      <c r="B183" s="2">
        <v>45715</v>
      </c>
      <c r="C183" t="s">
        <v>512</v>
      </c>
      <c r="D183" t="s">
        <v>516</v>
      </c>
      <c r="E183">
        <v>7701.9</v>
      </c>
      <c r="F183">
        <v>7589.75</v>
      </c>
      <c r="G183">
        <v>59223</v>
      </c>
      <c r="H183">
        <v>1286</v>
      </c>
      <c r="I183">
        <v>233</v>
      </c>
      <c r="J183">
        <v>7163.56</v>
      </c>
      <c r="K183">
        <f t="shared" si="19"/>
        <v>2.1714536582071156</v>
      </c>
      <c r="L183">
        <f t="shared" si="20"/>
        <v>5.9018273716951786</v>
      </c>
      <c r="M183">
        <f t="shared" si="18"/>
        <v>32.574034334763951</v>
      </c>
      <c r="N183">
        <f t="shared" si="21"/>
        <v>0.94384663526466617</v>
      </c>
      <c r="O183">
        <f t="shared" si="22"/>
        <v>-426.1899999999996</v>
      </c>
      <c r="P183">
        <f t="shared" si="23"/>
        <v>-758975</v>
      </c>
      <c r="Q183">
        <f t="shared" si="24"/>
        <v>2025</v>
      </c>
      <c r="R183">
        <f t="shared" si="25"/>
        <v>2</v>
      </c>
      <c r="S183">
        <f t="shared" si="26"/>
        <v>18.118195956454123</v>
      </c>
    </row>
    <row r="184" spans="1:19" x14ac:dyDescent="0.3">
      <c r="A184" t="s">
        <v>192</v>
      </c>
      <c r="B184" s="2">
        <v>45702</v>
      </c>
      <c r="C184" t="s">
        <v>512</v>
      </c>
      <c r="D184" t="s">
        <v>518</v>
      </c>
      <c r="E184">
        <v>3794.9</v>
      </c>
      <c r="F184">
        <v>3800.49</v>
      </c>
      <c r="G184">
        <v>123058</v>
      </c>
      <c r="H184">
        <v>4679</v>
      </c>
      <c r="I184">
        <v>186</v>
      </c>
      <c r="J184">
        <v>6623.32</v>
      </c>
      <c r="K184">
        <f t="shared" si="19"/>
        <v>3.8022720993352728</v>
      </c>
      <c r="L184">
        <f t="shared" si="20"/>
        <v>0.81224406924556525</v>
      </c>
      <c r="M184">
        <f t="shared" si="18"/>
        <v>20.432741935483868</v>
      </c>
      <c r="N184">
        <f t="shared" si="21"/>
        <v>1.7427542237974578</v>
      </c>
      <c r="O184">
        <f t="shared" si="22"/>
        <v>2822.83</v>
      </c>
      <c r="P184">
        <f t="shared" si="23"/>
        <v>-380049</v>
      </c>
      <c r="Q184">
        <f t="shared" si="24"/>
        <v>2025</v>
      </c>
      <c r="R184">
        <f t="shared" si="25"/>
        <v>2</v>
      </c>
      <c r="S184">
        <f t="shared" si="26"/>
        <v>3.9752083778585168</v>
      </c>
    </row>
    <row r="185" spans="1:19" x14ac:dyDescent="0.3">
      <c r="A185" t="s">
        <v>193</v>
      </c>
      <c r="B185" s="2">
        <v>45665</v>
      </c>
      <c r="C185" t="s">
        <v>512</v>
      </c>
      <c r="D185" t="s">
        <v>517</v>
      </c>
      <c r="E185">
        <v>8406.23</v>
      </c>
      <c r="F185">
        <v>8036.77</v>
      </c>
      <c r="G185">
        <v>133482</v>
      </c>
      <c r="H185">
        <v>2397</v>
      </c>
      <c r="I185">
        <v>50</v>
      </c>
      <c r="J185">
        <v>2278.27</v>
      </c>
      <c r="K185">
        <f t="shared" si="19"/>
        <v>1.7957477412684857</v>
      </c>
      <c r="L185">
        <f t="shared" si="20"/>
        <v>3.3528452231956614</v>
      </c>
      <c r="M185">
        <f t="shared" si="18"/>
        <v>160.7354</v>
      </c>
      <c r="N185">
        <f t="shared" si="21"/>
        <v>0.28348080136671822</v>
      </c>
      <c r="O185">
        <f t="shared" si="22"/>
        <v>-5758.5</v>
      </c>
      <c r="P185">
        <f t="shared" si="23"/>
        <v>-803677</v>
      </c>
      <c r="Q185">
        <f t="shared" si="24"/>
        <v>2025</v>
      </c>
      <c r="R185">
        <f t="shared" si="25"/>
        <v>1</v>
      </c>
      <c r="S185">
        <f t="shared" si="26"/>
        <v>2.0859407592824364</v>
      </c>
    </row>
    <row r="186" spans="1:19" x14ac:dyDescent="0.3">
      <c r="A186" t="s">
        <v>194</v>
      </c>
      <c r="B186" s="2">
        <v>45765</v>
      </c>
      <c r="C186" t="s">
        <v>510</v>
      </c>
      <c r="D186" t="s">
        <v>516</v>
      </c>
      <c r="E186">
        <v>6863.35</v>
      </c>
      <c r="F186">
        <v>6645.65</v>
      </c>
      <c r="G186">
        <v>130705</v>
      </c>
      <c r="H186">
        <v>4818</v>
      </c>
      <c r="I186">
        <v>159</v>
      </c>
      <c r="J186">
        <v>7361.64</v>
      </c>
      <c r="K186">
        <f t="shared" si="19"/>
        <v>3.6861634979534061</v>
      </c>
      <c r="L186">
        <f t="shared" si="20"/>
        <v>1.3793378995433789</v>
      </c>
      <c r="M186">
        <f t="shared" si="18"/>
        <v>41.796540880503144</v>
      </c>
      <c r="N186">
        <f t="shared" si="21"/>
        <v>1.1077381445005381</v>
      </c>
      <c r="O186">
        <f t="shared" si="22"/>
        <v>715.99000000000069</v>
      </c>
      <c r="P186">
        <f t="shared" si="23"/>
        <v>-664565</v>
      </c>
      <c r="Q186">
        <f t="shared" si="24"/>
        <v>2025</v>
      </c>
      <c r="R186">
        <f t="shared" si="25"/>
        <v>4</v>
      </c>
      <c r="S186">
        <f t="shared" si="26"/>
        <v>3.3001245330012452</v>
      </c>
    </row>
    <row r="187" spans="1:19" x14ac:dyDescent="0.3">
      <c r="A187" t="s">
        <v>195</v>
      </c>
      <c r="B187" s="2">
        <v>45729</v>
      </c>
      <c r="C187" t="s">
        <v>513</v>
      </c>
      <c r="D187" t="s">
        <v>515</v>
      </c>
      <c r="E187">
        <v>5824.38</v>
      </c>
      <c r="F187">
        <v>4893.67</v>
      </c>
      <c r="G187">
        <v>168213</v>
      </c>
      <c r="H187">
        <v>2627</v>
      </c>
      <c r="I187">
        <v>160</v>
      </c>
      <c r="J187">
        <v>3338.16</v>
      </c>
      <c r="K187">
        <f t="shared" si="19"/>
        <v>1.5617104504408101</v>
      </c>
      <c r="L187">
        <f t="shared" si="20"/>
        <v>1.8628359345260754</v>
      </c>
      <c r="M187">
        <f t="shared" si="18"/>
        <v>30.585437500000001</v>
      </c>
      <c r="N187">
        <f t="shared" si="21"/>
        <v>0.68213835424129532</v>
      </c>
      <c r="O187">
        <f t="shared" si="22"/>
        <v>-1555.5100000000002</v>
      </c>
      <c r="P187">
        <f t="shared" si="23"/>
        <v>-489367</v>
      </c>
      <c r="Q187">
        <f t="shared" si="24"/>
        <v>2025</v>
      </c>
      <c r="R187">
        <f t="shared" si="25"/>
        <v>3</v>
      </c>
      <c r="S187">
        <f t="shared" si="26"/>
        <v>6.0905976398934145</v>
      </c>
    </row>
    <row r="188" spans="1:19" x14ac:dyDescent="0.3">
      <c r="A188" t="s">
        <v>196</v>
      </c>
      <c r="B188" s="2">
        <v>45759</v>
      </c>
      <c r="C188" t="s">
        <v>510</v>
      </c>
      <c r="D188" t="s">
        <v>515</v>
      </c>
      <c r="E188">
        <v>8285.9599999999991</v>
      </c>
      <c r="F188">
        <v>8170.73</v>
      </c>
      <c r="G188">
        <v>55771</v>
      </c>
      <c r="H188">
        <v>1773</v>
      </c>
      <c r="I188">
        <v>177</v>
      </c>
      <c r="J188">
        <v>7278.66</v>
      </c>
      <c r="K188">
        <f t="shared" si="19"/>
        <v>3.1790715604884259</v>
      </c>
      <c r="L188">
        <f t="shared" si="20"/>
        <v>4.6084207557811618</v>
      </c>
      <c r="M188">
        <f t="shared" si="18"/>
        <v>46.162316384180791</v>
      </c>
      <c r="N188">
        <f t="shared" si="21"/>
        <v>0.89082126076862167</v>
      </c>
      <c r="O188">
        <f t="shared" si="22"/>
        <v>-892.06999999999971</v>
      </c>
      <c r="P188">
        <f t="shared" si="23"/>
        <v>-817073</v>
      </c>
      <c r="Q188">
        <f t="shared" si="24"/>
        <v>2025</v>
      </c>
      <c r="R188">
        <f t="shared" si="25"/>
        <v>4</v>
      </c>
      <c r="S188">
        <f t="shared" si="26"/>
        <v>9.9830795262267351</v>
      </c>
    </row>
    <row r="189" spans="1:19" x14ac:dyDescent="0.3">
      <c r="A189" t="s">
        <v>197</v>
      </c>
      <c r="B189" s="2">
        <v>45725</v>
      </c>
      <c r="C189" t="s">
        <v>512</v>
      </c>
      <c r="D189" t="s">
        <v>516</v>
      </c>
      <c r="E189">
        <v>4490.75</v>
      </c>
      <c r="F189">
        <v>3776.32</v>
      </c>
      <c r="G189">
        <v>158774</v>
      </c>
      <c r="H189">
        <v>5263</v>
      </c>
      <c r="I189">
        <v>268</v>
      </c>
      <c r="J189">
        <v>5476.94</v>
      </c>
      <c r="K189">
        <f t="shared" si="19"/>
        <v>3.3147744592943429</v>
      </c>
      <c r="L189">
        <f t="shared" si="20"/>
        <v>0.71752232566977014</v>
      </c>
      <c r="M189">
        <f t="shared" si="18"/>
        <v>14.090746268656718</v>
      </c>
      <c r="N189">
        <f t="shared" si="21"/>
        <v>1.4503378950936359</v>
      </c>
      <c r="O189">
        <f t="shared" si="22"/>
        <v>1700.6199999999994</v>
      </c>
      <c r="P189">
        <f t="shared" si="23"/>
        <v>-377632</v>
      </c>
      <c r="Q189">
        <f t="shared" si="24"/>
        <v>2025</v>
      </c>
      <c r="R189">
        <f t="shared" si="25"/>
        <v>3</v>
      </c>
      <c r="S189">
        <f t="shared" si="26"/>
        <v>5.0921527645829379</v>
      </c>
    </row>
    <row r="190" spans="1:19" x14ac:dyDescent="0.3">
      <c r="A190" t="s">
        <v>198</v>
      </c>
      <c r="B190" s="2">
        <v>45643</v>
      </c>
      <c r="C190" t="s">
        <v>510</v>
      </c>
      <c r="D190" t="s">
        <v>518</v>
      </c>
      <c r="E190">
        <v>5454.11</v>
      </c>
      <c r="F190">
        <v>5328.53</v>
      </c>
      <c r="G190">
        <v>167161</v>
      </c>
      <c r="H190">
        <v>1156</v>
      </c>
      <c r="I190">
        <v>85</v>
      </c>
      <c r="J190">
        <v>2700.22</v>
      </c>
      <c r="K190">
        <f t="shared" si="19"/>
        <v>0.69154886606325638</v>
      </c>
      <c r="L190">
        <f t="shared" si="20"/>
        <v>4.6094550173010376</v>
      </c>
      <c r="M190">
        <f t="shared" si="18"/>
        <v>62.688588235294112</v>
      </c>
      <c r="N190">
        <f t="shared" si="21"/>
        <v>0.50674763959290836</v>
      </c>
      <c r="O190">
        <f t="shared" si="22"/>
        <v>-2628.31</v>
      </c>
      <c r="P190">
        <f t="shared" si="23"/>
        <v>-532853</v>
      </c>
      <c r="Q190">
        <f t="shared" si="24"/>
        <v>2024</v>
      </c>
      <c r="R190">
        <f t="shared" si="25"/>
        <v>12</v>
      </c>
      <c r="S190">
        <f t="shared" si="26"/>
        <v>7.3529411764705888</v>
      </c>
    </row>
    <row r="191" spans="1:19" x14ac:dyDescent="0.3">
      <c r="A191" t="s">
        <v>199</v>
      </c>
      <c r="B191" s="2">
        <v>45804</v>
      </c>
      <c r="C191" t="s">
        <v>511</v>
      </c>
      <c r="D191" t="s">
        <v>517</v>
      </c>
      <c r="E191">
        <v>6062.32</v>
      </c>
      <c r="F191">
        <v>6494.25</v>
      </c>
      <c r="G191">
        <v>54315</v>
      </c>
      <c r="H191">
        <v>1126</v>
      </c>
      <c r="I191">
        <v>180</v>
      </c>
      <c r="J191">
        <v>5480.58</v>
      </c>
      <c r="K191">
        <f t="shared" si="19"/>
        <v>2.0730921476571851</v>
      </c>
      <c r="L191">
        <f t="shared" si="20"/>
        <v>5.767539964476021</v>
      </c>
      <c r="M191">
        <f t="shared" si="18"/>
        <v>36.079166666666666</v>
      </c>
      <c r="N191">
        <f t="shared" si="21"/>
        <v>0.84391269199676633</v>
      </c>
      <c r="O191">
        <f t="shared" si="22"/>
        <v>-1013.6700000000001</v>
      </c>
      <c r="P191">
        <f t="shared" si="23"/>
        <v>-649425</v>
      </c>
      <c r="Q191">
        <f t="shared" si="24"/>
        <v>2025</v>
      </c>
      <c r="R191">
        <f t="shared" si="25"/>
        <v>5</v>
      </c>
      <c r="S191">
        <f t="shared" si="26"/>
        <v>15.985790408525755</v>
      </c>
    </row>
    <row r="192" spans="1:19" x14ac:dyDescent="0.3">
      <c r="A192" t="s">
        <v>200</v>
      </c>
      <c r="B192" s="2">
        <v>45703</v>
      </c>
      <c r="C192" t="s">
        <v>513</v>
      </c>
      <c r="D192" t="s">
        <v>515</v>
      </c>
      <c r="E192">
        <v>6597.93</v>
      </c>
      <c r="F192">
        <v>6829.49</v>
      </c>
      <c r="G192">
        <v>112474</v>
      </c>
      <c r="H192">
        <v>3364</v>
      </c>
      <c r="I192">
        <v>62</v>
      </c>
      <c r="J192">
        <v>1977.57</v>
      </c>
      <c r="K192">
        <f t="shared" si="19"/>
        <v>2.9909134555541725</v>
      </c>
      <c r="L192">
        <f t="shared" si="20"/>
        <v>2.0301694411414983</v>
      </c>
      <c r="M192">
        <f t="shared" si="18"/>
        <v>110.15306451612904</v>
      </c>
      <c r="N192">
        <f t="shared" si="21"/>
        <v>0.28956334953268836</v>
      </c>
      <c r="O192">
        <f t="shared" si="22"/>
        <v>-4851.92</v>
      </c>
      <c r="P192">
        <f t="shared" si="23"/>
        <v>-682949</v>
      </c>
      <c r="Q192">
        <f t="shared" si="24"/>
        <v>2025</v>
      </c>
      <c r="R192">
        <f t="shared" si="25"/>
        <v>2</v>
      </c>
      <c r="S192">
        <f t="shared" si="26"/>
        <v>1.8430439952437574</v>
      </c>
    </row>
    <row r="193" spans="1:19" x14ac:dyDescent="0.3">
      <c r="A193" t="s">
        <v>201</v>
      </c>
      <c r="B193" s="2">
        <v>45673</v>
      </c>
      <c r="C193" t="s">
        <v>511</v>
      </c>
      <c r="D193" t="s">
        <v>518</v>
      </c>
      <c r="E193">
        <v>7354.61</v>
      </c>
      <c r="F193">
        <v>7786.39</v>
      </c>
      <c r="G193">
        <v>76227</v>
      </c>
      <c r="H193">
        <v>3059</v>
      </c>
      <c r="I193">
        <v>504</v>
      </c>
      <c r="J193">
        <v>24436.75</v>
      </c>
      <c r="K193">
        <f t="shared" si="19"/>
        <v>4.0130137615280681</v>
      </c>
      <c r="L193">
        <f t="shared" si="20"/>
        <v>2.5454037267080745</v>
      </c>
      <c r="M193">
        <f t="shared" si="18"/>
        <v>15.449186507936508</v>
      </c>
      <c r="N193">
        <f t="shared" si="21"/>
        <v>3.138392759674252</v>
      </c>
      <c r="O193">
        <f t="shared" si="22"/>
        <v>16650.36</v>
      </c>
      <c r="P193">
        <f t="shared" si="23"/>
        <v>-778639</v>
      </c>
      <c r="Q193">
        <f t="shared" si="24"/>
        <v>2025</v>
      </c>
      <c r="R193">
        <f t="shared" si="25"/>
        <v>1</v>
      </c>
      <c r="S193">
        <f t="shared" si="26"/>
        <v>16.475972540045767</v>
      </c>
    </row>
    <row r="194" spans="1:19" x14ac:dyDescent="0.3">
      <c r="A194" t="s">
        <v>202</v>
      </c>
      <c r="B194" s="2">
        <v>45747</v>
      </c>
      <c r="C194" t="s">
        <v>512</v>
      </c>
      <c r="D194" t="s">
        <v>518</v>
      </c>
      <c r="E194">
        <v>4029.51</v>
      </c>
      <c r="F194">
        <v>4343.72</v>
      </c>
      <c r="G194">
        <v>85573</v>
      </c>
      <c r="H194">
        <v>1887</v>
      </c>
      <c r="I194">
        <v>171</v>
      </c>
      <c r="J194">
        <v>5944.56</v>
      </c>
      <c r="K194">
        <f t="shared" si="19"/>
        <v>2.2051347971907025</v>
      </c>
      <c r="L194">
        <f t="shared" si="20"/>
        <v>2.3019183889772128</v>
      </c>
      <c r="M194">
        <f t="shared" ref="M194:M257" si="27">(F194/I194)</f>
        <v>25.401871345029242</v>
      </c>
      <c r="N194">
        <f t="shared" si="21"/>
        <v>1.368541250356837</v>
      </c>
      <c r="O194">
        <f t="shared" si="22"/>
        <v>1600.8400000000001</v>
      </c>
      <c r="P194">
        <f t="shared" si="23"/>
        <v>-434372</v>
      </c>
      <c r="Q194">
        <f t="shared" si="24"/>
        <v>2025</v>
      </c>
      <c r="R194">
        <f t="shared" si="25"/>
        <v>3</v>
      </c>
      <c r="S194">
        <f t="shared" si="26"/>
        <v>9.0620031796502385</v>
      </c>
    </row>
    <row r="195" spans="1:19" x14ac:dyDescent="0.3">
      <c r="A195" t="s">
        <v>203</v>
      </c>
      <c r="B195" s="2">
        <v>45641</v>
      </c>
      <c r="C195" t="s">
        <v>514</v>
      </c>
      <c r="D195" t="s">
        <v>516</v>
      </c>
      <c r="E195">
        <v>4807.71</v>
      </c>
      <c r="F195">
        <v>4508.3900000000003</v>
      </c>
      <c r="G195">
        <v>156215</v>
      </c>
      <c r="H195">
        <v>6524</v>
      </c>
      <c r="I195">
        <v>641</v>
      </c>
      <c r="J195">
        <v>31666.03</v>
      </c>
      <c r="K195">
        <f t="shared" ref="K195:K258" si="28">((H195/G195)*100)</f>
        <v>4.1762954901898031</v>
      </c>
      <c r="L195">
        <f t="shared" ref="L195:L258" si="29">(F195/H195)</f>
        <v>0.69104690374003686</v>
      </c>
      <c r="M195">
        <f t="shared" si="27"/>
        <v>7.0333697347893924</v>
      </c>
      <c r="N195">
        <f t="shared" ref="N195:N258" si="30">(J195/F195)</f>
        <v>7.0238000705351569</v>
      </c>
      <c r="O195">
        <f t="shared" ref="O195:O258" si="31">(J195-F195)</f>
        <v>27157.64</v>
      </c>
      <c r="P195">
        <f t="shared" ref="P195:P258" si="32">(O195-J195)*100</f>
        <v>-450838.99999999994</v>
      </c>
      <c r="Q195">
        <f t="shared" ref="Q195:Q258" si="33">YEAR(B195)</f>
        <v>2024</v>
      </c>
      <c r="R195">
        <f t="shared" ref="R195:R258" si="34">MONTH(B195)</f>
        <v>12</v>
      </c>
      <c r="S195">
        <f t="shared" ref="S195:S258" si="35">(I195/H195)*100</f>
        <v>9.8252605763335374</v>
      </c>
    </row>
    <row r="196" spans="1:19" x14ac:dyDescent="0.3">
      <c r="A196" t="s">
        <v>204</v>
      </c>
      <c r="B196" s="2">
        <v>45817</v>
      </c>
      <c r="C196" t="s">
        <v>511</v>
      </c>
      <c r="D196" t="s">
        <v>518</v>
      </c>
      <c r="E196">
        <v>6448.33</v>
      </c>
      <c r="F196">
        <v>5794.63</v>
      </c>
      <c r="G196">
        <v>83163</v>
      </c>
      <c r="H196">
        <v>2401</v>
      </c>
      <c r="I196">
        <v>165</v>
      </c>
      <c r="J196">
        <v>6435.33</v>
      </c>
      <c r="K196">
        <f t="shared" si="28"/>
        <v>2.8871012349241849</v>
      </c>
      <c r="L196">
        <f t="shared" si="29"/>
        <v>2.4134235735110372</v>
      </c>
      <c r="M196">
        <f t="shared" si="27"/>
        <v>35.1189696969697</v>
      </c>
      <c r="N196">
        <f t="shared" si="30"/>
        <v>1.1105678878547898</v>
      </c>
      <c r="O196">
        <f t="shared" si="31"/>
        <v>640.69999999999982</v>
      </c>
      <c r="P196">
        <f t="shared" si="32"/>
        <v>-579463</v>
      </c>
      <c r="Q196">
        <f t="shared" si="33"/>
        <v>2025</v>
      </c>
      <c r="R196">
        <f t="shared" si="34"/>
        <v>6</v>
      </c>
      <c r="S196">
        <f t="shared" si="35"/>
        <v>6.8721366097459393</v>
      </c>
    </row>
    <row r="197" spans="1:19" x14ac:dyDescent="0.3">
      <c r="A197" t="s">
        <v>205</v>
      </c>
      <c r="B197" s="2">
        <v>45776</v>
      </c>
      <c r="C197" t="s">
        <v>513</v>
      </c>
      <c r="D197" t="s">
        <v>518</v>
      </c>
      <c r="E197">
        <v>4681.0200000000004</v>
      </c>
      <c r="F197">
        <v>3851.35</v>
      </c>
      <c r="G197">
        <v>122395</v>
      </c>
      <c r="H197">
        <v>3701</v>
      </c>
      <c r="I197">
        <v>421</v>
      </c>
      <c r="J197">
        <v>10047.75</v>
      </c>
      <c r="K197">
        <f t="shared" si="28"/>
        <v>3.0238163323665184</v>
      </c>
      <c r="L197">
        <f t="shared" si="29"/>
        <v>1.0406241556336124</v>
      </c>
      <c r="M197">
        <f t="shared" si="27"/>
        <v>9.1480997624703093</v>
      </c>
      <c r="N197">
        <f t="shared" si="30"/>
        <v>2.6088903890843471</v>
      </c>
      <c r="O197">
        <f t="shared" si="31"/>
        <v>6196.4</v>
      </c>
      <c r="P197">
        <f t="shared" si="32"/>
        <v>-385135.00000000006</v>
      </c>
      <c r="Q197">
        <f t="shared" si="33"/>
        <v>2025</v>
      </c>
      <c r="R197">
        <f t="shared" si="34"/>
        <v>4</v>
      </c>
      <c r="S197">
        <f t="shared" si="35"/>
        <v>11.375303971899486</v>
      </c>
    </row>
    <row r="198" spans="1:19" x14ac:dyDescent="0.3">
      <c r="A198" t="s">
        <v>206</v>
      </c>
      <c r="B198" s="2">
        <v>45680</v>
      </c>
      <c r="C198" t="s">
        <v>510</v>
      </c>
      <c r="D198" t="s">
        <v>517</v>
      </c>
      <c r="E198">
        <v>3896.32</v>
      </c>
      <c r="F198">
        <v>3294.61</v>
      </c>
      <c r="G198">
        <v>148880</v>
      </c>
      <c r="H198">
        <v>1344</v>
      </c>
      <c r="I198">
        <v>233</v>
      </c>
      <c r="J198">
        <v>5630.4</v>
      </c>
      <c r="K198">
        <f t="shared" si="28"/>
        <v>0.90274046211714143</v>
      </c>
      <c r="L198">
        <f t="shared" si="29"/>
        <v>2.4513467261904762</v>
      </c>
      <c r="M198">
        <f t="shared" si="27"/>
        <v>14.139957081545065</v>
      </c>
      <c r="N198">
        <f t="shared" si="30"/>
        <v>1.7089731409787499</v>
      </c>
      <c r="O198">
        <f t="shared" si="31"/>
        <v>2335.7899999999995</v>
      </c>
      <c r="P198">
        <f t="shared" si="32"/>
        <v>-329461</v>
      </c>
      <c r="Q198">
        <f t="shared" si="33"/>
        <v>2025</v>
      </c>
      <c r="R198">
        <f t="shared" si="34"/>
        <v>1</v>
      </c>
      <c r="S198">
        <f t="shared" si="35"/>
        <v>17.336309523809522</v>
      </c>
    </row>
    <row r="199" spans="1:19" x14ac:dyDescent="0.3">
      <c r="A199" t="s">
        <v>207</v>
      </c>
      <c r="B199" s="2">
        <v>45638</v>
      </c>
      <c r="C199" t="s">
        <v>513</v>
      </c>
      <c r="D199" t="s">
        <v>518</v>
      </c>
      <c r="E199">
        <v>7486.12</v>
      </c>
      <c r="F199">
        <v>6397.37</v>
      </c>
      <c r="G199">
        <v>150378</v>
      </c>
      <c r="H199">
        <v>1516</v>
      </c>
      <c r="I199">
        <v>269</v>
      </c>
      <c r="J199">
        <v>8169.53</v>
      </c>
      <c r="K199">
        <f t="shared" si="28"/>
        <v>1.0081261886712152</v>
      </c>
      <c r="L199">
        <f t="shared" si="29"/>
        <v>4.2199010554089709</v>
      </c>
      <c r="M199">
        <f t="shared" si="27"/>
        <v>23.782044609665427</v>
      </c>
      <c r="N199">
        <f t="shared" si="30"/>
        <v>1.2770138353729736</v>
      </c>
      <c r="O199">
        <f t="shared" si="31"/>
        <v>1772.1599999999999</v>
      </c>
      <c r="P199">
        <f t="shared" si="32"/>
        <v>-639737</v>
      </c>
      <c r="Q199">
        <f t="shared" si="33"/>
        <v>2024</v>
      </c>
      <c r="R199">
        <f t="shared" si="34"/>
        <v>12</v>
      </c>
      <c r="S199">
        <f t="shared" si="35"/>
        <v>17.74406332453826</v>
      </c>
    </row>
    <row r="200" spans="1:19" x14ac:dyDescent="0.3">
      <c r="A200" t="s">
        <v>208</v>
      </c>
      <c r="B200" s="2">
        <v>45726</v>
      </c>
      <c r="C200" t="s">
        <v>512</v>
      </c>
      <c r="D200" t="s">
        <v>517</v>
      </c>
      <c r="E200">
        <v>9277.52</v>
      </c>
      <c r="F200">
        <v>8741.17</v>
      </c>
      <c r="G200">
        <v>141253</v>
      </c>
      <c r="H200">
        <v>2934</v>
      </c>
      <c r="I200">
        <v>357</v>
      </c>
      <c r="J200">
        <v>14289.54</v>
      </c>
      <c r="K200">
        <f t="shared" si="28"/>
        <v>2.0771240256844101</v>
      </c>
      <c r="L200">
        <f t="shared" si="29"/>
        <v>2.9792672119972732</v>
      </c>
      <c r="M200">
        <f t="shared" si="27"/>
        <v>24.485070028011204</v>
      </c>
      <c r="N200">
        <f t="shared" si="30"/>
        <v>1.6347399718801947</v>
      </c>
      <c r="O200">
        <f t="shared" si="31"/>
        <v>5548.3700000000008</v>
      </c>
      <c r="P200">
        <f t="shared" si="32"/>
        <v>-874117</v>
      </c>
      <c r="Q200">
        <f t="shared" si="33"/>
        <v>2025</v>
      </c>
      <c r="R200">
        <f t="shared" si="34"/>
        <v>3</v>
      </c>
      <c r="S200">
        <f t="shared" si="35"/>
        <v>12.167689161554192</v>
      </c>
    </row>
    <row r="201" spans="1:19" x14ac:dyDescent="0.3">
      <c r="A201" t="s">
        <v>209</v>
      </c>
      <c r="B201" s="2">
        <v>45758</v>
      </c>
      <c r="C201" t="s">
        <v>514</v>
      </c>
      <c r="D201" t="s">
        <v>516</v>
      </c>
      <c r="E201">
        <v>4206.24</v>
      </c>
      <c r="F201">
        <v>3607.64</v>
      </c>
      <c r="G201">
        <v>171015</v>
      </c>
      <c r="H201">
        <v>7567</v>
      </c>
      <c r="I201">
        <v>1110</v>
      </c>
      <c r="J201">
        <v>23560.92</v>
      </c>
      <c r="K201">
        <f t="shared" si="28"/>
        <v>4.4247580621582907</v>
      </c>
      <c r="L201">
        <f t="shared" si="29"/>
        <v>0.47675961411391565</v>
      </c>
      <c r="M201">
        <f t="shared" si="27"/>
        <v>3.2501261261261258</v>
      </c>
      <c r="N201">
        <f t="shared" si="30"/>
        <v>6.5308401059972718</v>
      </c>
      <c r="O201">
        <f t="shared" si="31"/>
        <v>19953.28</v>
      </c>
      <c r="P201">
        <f t="shared" si="32"/>
        <v>-360763.99999999994</v>
      </c>
      <c r="Q201">
        <f t="shared" si="33"/>
        <v>2025</v>
      </c>
      <c r="R201">
        <f t="shared" si="34"/>
        <v>4</v>
      </c>
      <c r="S201">
        <f t="shared" si="35"/>
        <v>14.668957314655742</v>
      </c>
    </row>
    <row r="202" spans="1:19" x14ac:dyDescent="0.3">
      <c r="A202" t="s">
        <v>210</v>
      </c>
      <c r="B202" s="2">
        <v>45807</v>
      </c>
      <c r="C202" t="s">
        <v>513</v>
      </c>
      <c r="D202" t="s">
        <v>516</v>
      </c>
      <c r="E202">
        <v>4182.55</v>
      </c>
      <c r="F202">
        <v>3695.61</v>
      </c>
      <c r="G202">
        <v>127713</v>
      </c>
      <c r="H202">
        <v>1869</v>
      </c>
      <c r="I202">
        <v>349</v>
      </c>
      <c r="J202">
        <v>8833.2999999999993</v>
      </c>
      <c r="K202">
        <f t="shared" si="28"/>
        <v>1.4634375513847453</v>
      </c>
      <c r="L202">
        <f t="shared" si="29"/>
        <v>1.977319422150883</v>
      </c>
      <c r="M202">
        <f t="shared" si="27"/>
        <v>10.589140401146132</v>
      </c>
      <c r="N202">
        <f t="shared" si="30"/>
        <v>2.390214335387121</v>
      </c>
      <c r="O202">
        <f t="shared" si="31"/>
        <v>5137.6899999999987</v>
      </c>
      <c r="P202">
        <f t="shared" si="32"/>
        <v>-369561.00000000006</v>
      </c>
      <c r="Q202">
        <f t="shared" si="33"/>
        <v>2025</v>
      </c>
      <c r="R202">
        <f t="shared" si="34"/>
        <v>5</v>
      </c>
      <c r="S202">
        <f t="shared" si="35"/>
        <v>18.673087212413055</v>
      </c>
    </row>
    <row r="203" spans="1:19" x14ac:dyDescent="0.3">
      <c r="A203" t="s">
        <v>211</v>
      </c>
      <c r="B203" s="2">
        <v>45816</v>
      </c>
      <c r="C203" t="s">
        <v>512</v>
      </c>
      <c r="D203" t="s">
        <v>516</v>
      </c>
      <c r="E203">
        <v>3620.92</v>
      </c>
      <c r="F203">
        <v>3027.78</v>
      </c>
      <c r="G203">
        <v>95400</v>
      </c>
      <c r="H203">
        <v>1371</v>
      </c>
      <c r="I203">
        <v>250</v>
      </c>
      <c r="J203">
        <v>8455.84</v>
      </c>
      <c r="K203">
        <f t="shared" si="28"/>
        <v>1.4371069182389937</v>
      </c>
      <c r="L203">
        <f t="shared" si="29"/>
        <v>2.2084463894967179</v>
      </c>
      <c r="M203">
        <f t="shared" si="27"/>
        <v>12.111120000000001</v>
      </c>
      <c r="N203">
        <f t="shared" si="30"/>
        <v>2.7927524456862782</v>
      </c>
      <c r="O203">
        <f t="shared" si="31"/>
        <v>5428.0599999999995</v>
      </c>
      <c r="P203">
        <f t="shared" si="32"/>
        <v>-302778.00000000006</v>
      </c>
      <c r="Q203">
        <f t="shared" si="33"/>
        <v>2025</v>
      </c>
      <c r="R203">
        <f t="shared" si="34"/>
        <v>6</v>
      </c>
      <c r="S203">
        <f t="shared" si="35"/>
        <v>18.234865061998544</v>
      </c>
    </row>
    <row r="204" spans="1:19" x14ac:dyDescent="0.3">
      <c r="A204" t="s">
        <v>212</v>
      </c>
      <c r="B204" s="2">
        <v>45647</v>
      </c>
      <c r="C204" t="s">
        <v>510</v>
      </c>
      <c r="D204" t="s">
        <v>515</v>
      </c>
      <c r="E204">
        <v>4444.34</v>
      </c>
      <c r="F204">
        <v>4041.15</v>
      </c>
      <c r="G204">
        <v>154562</v>
      </c>
      <c r="H204">
        <v>4028</v>
      </c>
      <c r="I204">
        <v>250</v>
      </c>
      <c r="J204">
        <v>8775.6299999999992</v>
      </c>
      <c r="K204">
        <f t="shared" si="28"/>
        <v>2.6060739379666411</v>
      </c>
      <c r="L204">
        <f t="shared" si="29"/>
        <v>1.003264647467726</v>
      </c>
      <c r="M204">
        <f t="shared" si="27"/>
        <v>16.1646</v>
      </c>
      <c r="N204">
        <f t="shared" si="30"/>
        <v>2.1715674993504321</v>
      </c>
      <c r="O204">
        <f t="shared" si="31"/>
        <v>4734.4799999999996</v>
      </c>
      <c r="P204">
        <f t="shared" si="32"/>
        <v>-404114.99999999994</v>
      </c>
      <c r="Q204">
        <f t="shared" si="33"/>
        <v>2024</v>
      </c>
      <c r="R204">
        <f t="shared" si="34"/>
        <v>12</v>
      </c>
      <c r="S204">
        <f t="shared" si="35"/>
        <v>6.2065541211519371</v>
      </c>
    </row>
    <row r="205" spans="1:19" x14ac:dyDescent="0.3">
      <c r="A205" t="s">
        <v>213</v>
      </c>
      <c r="B205" s="2">
        <v>45780</v>
      </c>
      <c r="C205" t="s">
        <v>512</v>
      </c>
      <c r="D205" t="s">
        <v>518</v>
      </c>
      <c r="E205">
        <v>7832.76</v>
      </c>
      <c r="F205">
        <v>6358.58</v>
      </c>
      <c r="G205">
        <v>100148</v>
      </c>
      <c r="H205">
        <v>1610</v>
      </c>
      <c r="I205">
        <v>112</v>
      </c>
      <c r="J205">
        <v>4926.0200000000004</v>
      </c>
      <c r="K205">
        <f t="shared" si="28"/>
        <v>1.6076207213324281</v>
      </c>
      <c r="L205">
        <f t="shared" si="29"/>
        <v>3.9494285714285713</v>
      </c>
      <c r="M205">
        <f t="shared" si="27"/>
        <v>56.773035714285712</v>
      </c>
      <c r="N205">
        <f t="shared" si="30"/>
        <v>0.77470441513671295</v>
      </c>
      <c r="O205">
        <f t="shared" si="31"/>
        <v>-1432.5599999999995</v>
      </c>
      <c r="P205">
        <f t="shared" si="32"/>
        <v>-635858</v>
      </c>
      <c r="Q205">
        <f t="shared" si="33"/>
        <v>2025</v>
      </c>
      <c r="R205">
        <f t="shared" si="34"/>
        <v>5</v>
      </c>
      <c r="S205">
        <f t="shared" si="35"/>
        <v>6.9565217391304346</v>
      </c>
    </row>
    <row r="206" spans="1:19" x14ac:dyDescent="0.3">
      <c r="A206" t="s">
        <v>214</v>
      </c>
      <c r="B206" s="2">
        <v>45715</v>
      </c>
      <c r="C206" t="s">
        <v>510</v>
      </c>
      <c r="D206" t="s">
        <v>516</v>
      </c>
      <c r="E206">
        <v>7395.3</v>
      </c>
      <c r="F206">
        <v>6097.63</v>
      </c>
      <c r="G206">
        <v>109858</v>
      </c>
      <c r="H206">
        <v>3804</v>
      </c>
      <c r="I206">
        <v>713</v>
      </c>
      <c r="J206">
        <v>32945.85</v>
      </c>
      <c r="K206">
        <f t="shared" si="28"/>
        <v>3.4626517868521183</v>
      </c>
      <c r="L206">
        <f t="shared" si="29"/>
        <v>1.6029521556256572</v>
      </c>
      <c r="M206">
        <f t="shared" si="27"/>
        <v>8.552075736325385</v>
      </c>
      <c r="N206">
        <f t="shared" si="30"/>
        <v>5.4030582373807521</v>
      </c>
      <c r="O206">
        <f t="shared" si="31"/>
        <v>26848.219999999998</v>
      </c>
      <c r="P206">
        <f t="shared" si="32"/>
        <v>-609763.00000000012</v>
      </c>
      <c r="Q206">
        <f t="shared" si="33"/>
        <v>2025</v>
      </c>
      <c r="R206">
        <f t="shared" si="34"/>
        <v>2</v>
      </c>
      <c r="S206">
        <f t="shared" si="35"/>
        <v>18.74342797055731</v>
      </c>
    </row>
    <row r="207" spans="1:19" x14ac:dyDescent="0.3">
      <c r="A207" t="s">
        <v>215</v>
      </c>
      <c r="B207" s="2">
        <v>45762</v>
      </c>
      <c r="C207" t="s">
        <v>514</v>
      </c>
      <c r="D207" t="s">
        <v>516</v>
      </c>
      <c r="E207">
        <v>9446.11</v>
      </c>
      <c r="F207">
        <v>7729.97</v>
      </c>
      <c r="G207">
        <v>158340</v>
      </c>
      <c r="H207">
        <v>2273</v>
      </c>
      <c r="I207">
        <v>434</v>
      </c>
      <c r="J207">
        <v>12284.95</v>
      </c>
      <c r="K207">
        <f t="shared" si="28"/>
        <v>1.4355185044840217</v>
      </c>
      <c r="L207">
        <f t="shared" si="29"/>
        <v>3.4007787065552133</v>
      </c>
      <c r="M207">
        <f t="shared" si="27"/>
        <v>17.810990783410137</v>
      </c>
      <c r="N207">
        <f t="shared" si="30"/>
        <v>1.5892623127903471</v>
      </c>
      <c r="O207">
        <f t="shared" si="31"/>
        <v>4554.9800000000005</v>
      </c>
      <c r="P207">
        <f t="shared" si="32"/>
        <v>-772997</v>
      </c>
      <c r="Q207">
        <f t="shared" si="33"/>
        <v>2025</v>
      </c>
      <c r="R207">
        <f t="shared" si="34"/>
        <v>4</v>
      </c>
      <c r="S207">
        <f t="shared" si="35"/>
        <v>19.093708754949407</v>
      </c>
    </row>
    <row r="208" spans="1:19" x14ac:dyDescent="0.3">
      <c r="A208" t="s">
        <v>216</v>
      </c>
      <c r="B208" s="2">
        <v>45769</v>
      </c>
      <c r="C208" t="s">
        <v>512</v>
      </c>
      <c r="D208" t="s">
        <v>518</v>
      </c>
      <c r="E208">
        <v>8643.41</v>
      </c>
      <c r="F208">
        <v>8854.98</v>
      </c>
      <c r="G208">
        <v>114026</v>
      </c>
      <c r="H208">
        <v>4773</v>
      </c>
      <c r="I208">
        <v>185</v>
      </c>
      <c r="J208">
        <v>4724.09</v>
      </c>
      <c r="K208">
        <f t="shared" si="28"/>
        <v>4.1858874291828174</v>
      </c>
      <c r="L208">
        <f t="shared" si="29"/>
        <v>1.8552231301068509</v>
      </c>
      <c r="M208">
        <f t="shared" si="27"/>
        <v>47.864756756756755</v>
      </c>
      <c r="N208">
        <f t="shared" si="30"/>
        <v>0.53349527610451974</v>
      </c>
      <c r="O208">
        <f t="shared" si="31"/>
        <v>-4130.8899999999994</v>
      </c>
      <c r="P208">
        <f t="shared" si="32"/>
        <v>-885498</v>
      </c>
      <c r="Q208">
        <f t="shared" si="33"/>
        <v>2025</v>
      </c>
      <c r="R208">
        <f t="shared" si="34"/>
        <v>4</v>
      </c>
      <c r="S208">
        <f t="shared" si="35"/>
        <v>3.8759689922480618</v>
      </c>
    </row>
    <row r="209" spans="1:19" x14ac:dyDescent="0.3">
      <c r="A209" t="s">
        <v>217</v>
      </c>
      <c r="B209" s="2">
        <v>45796</v>
      </c>
      <c r="C209" t="s">
        <v>514</v>
      </c>
      <c r="D209" t="s">
        <v>516</v>
      </c>
      <c r="E209">
        <v>4465.45</v>
      </c>
      <c r="F209">
        <v>4068.66</v>
      </c>
      <c r="G209">
        <v>188606</v>
      </c>
      <c r="H209">
        <v>1714</v>
      </c>
      <c r="I209">
        <v>194</v>
      </c>
      <c r="J209">
        <v>6699.92</v>
      </c>
      <c r="K209">
        <f t="shared" si="28"/>
        <v>0.90877278559536812</v>
      </c>
      <c r="L209">
        <f t="shared" si="29"/>
        <v>2.3737806301050175</v>
      </c>
      <c r="M209">
        <f t="shared" si="27"/>
        <v>20.972474226804124</v>
      </c>
      <c r="N209">
        <f t="shared" si="30"/>
        <v>1.6467141515879922</v>
      </c>
      <c r="O209">
        <f t="shared" si="31"/>
        <v>2631.26</v>
      </c>
      <c r="P209">
        <f t="shared" si="32"/>
        <v>-406866</v>
      </c>
      <c r="Q209">
        <f t="shared" si="33"/>
        <v>2025</v>
      </c>
      <c r="R209">
        <f t="shared" si="34"/>
        <v>5</v>
      </c>
      <c r="S209">
        <f t="shared" si="35"/>
        <v>11.318553092182031</v>
      </c>
    </row>
    <row r="210" spans="1:19" x14ac:dyDescent="0.3">
      <c r="A210" t="s">
        <v>218</v>
      </c>
      <c r="B210" s="2">
        <v>45802</v>
      </c>
      <c r="C210" t="s">
        <v>513</v>
      </c>
      <c r="D210" t="s">
        <v>516</v>
      </c>
      <c r="E210">
        <v>7327.78</v>
      </c>
      <c r="F210">
        <v>6673.22</v>
      </c>
      <c r="G210">
        <v>137418</v>
      </c>
      <c r="H210">
        <v>4255</v>
      </c>
      <c r="I210">
        <v>107</v>
      </c>
      <c r="J210">
        <v>3624.74</v>
      </c>
      <c r="K210">
        <f t="shared" si="28"/>
        <v>3.0963920301561658</v>
      </c>
      <c r="L210">
        <f t="shared" si="29"/>
        <v>1.5683243243243243</v>
      </c>
      <c r="M210">
        <f t="shared" si="27"/>
        <v>62.366542056074771</v>
      </c>
      <c r="N210">
        <f t="shared" si="30"/>
        <v>0.5431770569530151</v>
      </c>
      <c r="O210">
        <f t="shared" si="31"/>
        <v>-3048.4800000000005</v>
      </c>
      <c r="P210">
        <f t="shared" si="32"/>
        <v>-667322</v>
      </c>
      <c r="Q210">
        <f t="shared" si="33"/>
        <v>2025</v>
      </c>
      <c r="R210">
        <f t="shared" si="34"/>
        <v>5</v>
      </c>
      <c r="S210">
        <f t="shared" si="35"/>
        <v>2.5146886016451231</v>
      </c>
    </row>
    <row r="211" spans="1:19" x14ac:dyDescent="0.3">
      <c r="A211" t="s">
        <v>219</v>
      </c>
      <c r="B211" s="2">
        <v>45637</v>
      </c>
      <c r="C211" t="s">
        <v>513</v>
      </c>
      <c r="D211" t="s">
        <v>518</v>
      </c>
      <c r="E211">
        <v>8232.2999999999993</v>
      </c>
      <c r="F211">
        <v>6676.44</v>
      </c>
      <c r="G211">
        <v>195298</v>
      </c>
      <c r="H211">
        <v>3830</v>
      </c>
      <c r="I211">
        <v>340</v>
      </c>
      <c r="J211">
        <v>9374.86</v>
      </c>
      <c r="K211">
        <f t="shared" si="28"/>
        <v>1.9611055924791856</v>
      </c>
      <c r="L211">
        <f t="shared" si="29"/>
        <v>1.743195822454308</v>
      </c>
      <c r="M211">
        <f t="shared" si="27"/>
        <v>19.636588235294116</v>
      </c>
      <c r="N211">
        <f t="shared" si="30"/>
        <v>1.4041704860674253</v>
      </c>
      <c r="O211">
        <f t="shared" si="31"/>
        <v>2698.420000000001</v>
      </c>
      <c r="P211">
        <f t="shared" si="32"/>
        <v>-667644</v>
      </c>
      <c r="Q211">
        <f t="shared" si="33"/>
        <v>2024</v>
      </c>
      <c r="R211">
        <f t="shared" si="34"/>
        <v>12</v>
      </c>
      <c r="S211">
        <f t="shared" si="35"/>
        <v>8.8772845953002602</v>
      </c>
    </row>
    <row r="212" spans="1:19" x14ac:dyDescent="0.3">
      <c r="A212" t="s">
        <v>220</v>
      </c>
      <c r="B212" s="2">
        <v>45746</v>
      </c>
      <c r="C212" t="s">
        <v>513</v>
      </c>
      <c r="D212" t="s">
        <v>516</v>
      </c>
      <c r="E212">
        <v>7993.45</v>
      </c>
      <c r="F212">
        <v>8541.5</v>
      </c>
      <c r="G212">
        <v>191329</v>
      </c>
      <c r="H212">
        <v>5806</v>
      </c>
      <c r="I212">
        <v>454</v>
      </c>
      <c r="J212">
        <v>16049.05</v>
      </c>
      <c r="K212">
        <f t="shared" si="28"/>
        <v>3.0345635005670859</v>
      </c>
      <c r="L212">
        <f t="shared" si="29"/>
        <v>1.4711505339304167</v>
      </c>
      <c r="M212">
        <f t="shared" si="27"/>
        <v>18.81387665198238</v>
      </c>
      <c r="N212">
        <f t="shared" si="30"/>
        <v>1.8789498331674763</v>
      </c>
      <c r="O212">
        <f t="shared" si="31"/>
        <v>7507.5499999999993</v>
      </c>
      <c r="P212">
        <f t="shared" si="32"/>
        <v>-854150</v>
      </c>
      <c r="Q212">
        <f t="shared" si="33"/>
        <v>2025</v>
      </c>
      <c r="R212">
        <f t="shared" si="34"/>
        <v>3</v>
      </c>
      <c r="S212">
        <f t="shared" si="35"/>
        <v>7.8194970719944887</v>
      </c>
    </row>
    <row r="213" spans="1:19" x14ac:dyDescent="0.3">
      <c r="A213" t="s">
        <v>221</v>
      </c>
      <c r="B213" s="2">
        <v>45793</v>
      </c>
      <c r="C213" t="s">
        <v>514</v>
      </c>
      <c r="D213" t="s">
        <v>515</v>
      </c>
      <c r="E213">
        <v>6724.79</v>
      </c>
      <c r="F213">
        <v>5596.04</v>
      </c>
      <c r="G213">
        <v>118663</v>
      </c>
      <c r="H213">
        <v>2481</v>
      </c>
      <c r="I213">
        <v>397</v>
      </c>
      <c r="J213">
        <v>13268.68</v>
      </c>
      <c r="K213">
        <f t="shared" si="28"/>
        <v>2.0907949402930988</v>
      </c>
      <c r="L213">
        <f t="shared" si="29"/>
        <v>2.2555582426440952</v>
      </c>
      <c r="M213">
        <f t="shared" si="27"/>
        <v>14.095818639798489</v>
      </c>
      <c r="N213">
        <f t="shared" si="30"/>
        <v>2.3710838378567702</v>
      </c>
      <c r="O213">
        <f t="shared" si="31"/>
        <v>7672.64</v>
      </c>
      <c r="P213">
        <f t="shared" si="32"/>
        <v>-559604</v>
      </c>
      <c r="Q213">
        <f t="shared" si="33"/>
        <v>2025</v>
      </c>
      <c r="R213">
        <f t="shared" si="34"/>
        <v>5</v>
      </c>
      <c r="S213">
        <f t="shared" si="35"/>
        <v>16.001612253123739</v>
      </c>
    </row>
    <row r="214" spans="1:19" x14ac:dyDescent="0.3">
      <c r="A214" t="s">
        <v>222</v>
      </c>
      <c r="B214" s="2">
        <v>45770</v>
      </c>
      <c r="C214" t="s">
        <v>514</v>
      </c>
      <c r="D214" t="s">
        <v>518</v>
      </c>
      <c r="E214">
        <v>6728.32</v>
      </c>
      <c r="F214">
        <v>5872.08</v>
      </c>
      <c r="G214">
        <v>55825</v>
      </c>
      <c r="H214">
        <v>2436</v>
      </c>
      <c r="I214">
        <v>144</v>
      </c>
      <c r="J214">
        <v>4043.13</v>
      </c>
      <c r="K214">
        <f t="shared" si="28"/>
        <v>4.3636363636363642</v>
      </c>
      <c r="L214">
        <f t="shared" si="29"/>
        <v>2.4105418719211822</v>
      </c>
      <c r="M214">
        <f t="shared" si="27"/>
        <v>40.778333333333336</v>
      </c>
      <c r="N214">
        <f t="shared" si="30"/>
        <v>0.68853455674990804</v>
      </c>
      <c r="O214">
        <f t="shared" si="31"/>
        <v>-1828.9499999999998</v>
      </c>
      <c r="P214">
        <f t="shared" si="32"/>
        <v>-587208</v>
      </c>
      <c r="Q214">
        <f t="shared" si="33"/>
        <v>2025</v>
      </c>
      <c r="R214">
        <f t="shared" si="34"/>
        <v>4</v>
      </c>
      <c r="S214">
        <f t="shared" si="35"/>
        <v>5.9113300492610836</v>
      </c>
    </row>
    <row r="215" spans="1:19" x14ac:dyDescent="0.3">
      <c r="A215" t="s">
        <v>223</v>
      </c>
      <c r="B215" s="2">
        <v>45658</v>
      </c>
      <c r="C215" t="s">
        <v>513</v>
      </c>
      <c r="D215" t="s">
        <v>517</v>
      </c>
      <c r="E215">
        <v>5640.99</v>
      </c>
      <c r="F215">
        <v>4546.76</v>
      </c>
      <c r="G215">
        <v>53730</v>
      </c>
      <c r="H215">
        <v>2251</v>
      </c>
      <c r="I215">
        <v>253</v>
      </c>
      <c r="J215">
        <v>7504.58</v>
      </c>
      <c r="K215">
        <f t="shared" si="28"/>
        <v>4.1894658477573055</v>
      </c>
      <c r="L215">
        <f t="shared" si="29"/>
        <v>2.0198844957796536</v>
      </c>
      <c r="M215">
        <f t="shared" si="27"/>
        <v>17.971383399209486</v>
      </c>
      <c r="N215">
        <f t="shared" si="30"/>
        <v>1.6505335667596266</v>
      </c>
      <c r="O215">
        <f t="shared" si="31"/>
        <v>2957.8199999999997</v>
      </c>
      <c r="P215">
        <f t="shared" si="32"/>
        <v>-454676</v>
      </c>
      <c r="Q215">
        <f t="shared" si="33"/>
        <v>2025</v>
      </c>
      <c r="R215">
        <f t="shared" si="34"/>
        <v>1</v>
      </c>
      <c r="S215">
        <f t="shared" si="35"/>
        <v>11.239449133718347</v>
      </c>
    </row>
    <row r="216" spans="1:19" x14ac:dyDescent="0.3">
      <c r="A216" t="s">
        <v>224</v>
      </c>
      <c r="B216" s="2">
        <v>45636</v>
      </c>
      <c r="C216" t="s">
        <v>510</v>
      </c>
      <c r="D216" t="s">
        <v>515</v>
      </c>
      <c r="E216">
        <v>4480.1400000000003</v>
      </c>
      <c r="F216">
        <v>4024.28</v>
      </c>
      <c r="G216">
        <v>177951</v>
      </c>
      <c r="H216">
        <v>3898</v>
      </c>
      <c r="I216">
        <v>283</v>
      </c>
      <c r="J216">
        <v>6676.78</v>
      </c>
      <c r="K216">
        <f t="shared" si="28"/>
        <v>2.1904906406819853</v>
      </c>
      <c r="L216">
        <f t="shared" si="29"/>
        <v>1.032396100564392</v>
      </c>
      <c r="M216">
        <f t="shared" si="27"/>
        <v>14.220070671378092</v>
      </c>
      <c r="N216">
        <f t="shared" si="30"/>
        <v>1.659124116612164</v>
      </c>
      <c r="O216">
        <f t="shared" si="31"/>
        <v>2652.4999999999995</v>
      </c>
      <c r="P216">
        <f t="shared" si="32"/>
        <v>-402428</v>
      </c>
      <c r="Q216">
        <f t="shared" si="33"/>
        <v>2024</v>
      </c>
      <c r="R216">
        <f t="shared" si="34"/>
        <v>12</v>
      </c>
      <c r="S216">
        <f t="shared" si="35"/>
        <v>7.2601334017444845</v>
      </c>
    </row>
    <row r="217" spans="1:19" x14ac:dyDescent="0.3">
      <c r="A217" t="s">
        <v>225</v>
      </c>
      <c r="B217" s="2">
        <v>45771</v>
      </c>
      <c r="C217" t="s">
        <v>510</v>
      </c>
      <c r="D217" t="s">
        <v>515</v>
      </c>
      <c r="E217">
        <v>9233.69</v>
      </c>
      <c r="F217">
        <v>9031.27</v>
      </c>
      <c r="G217">
        <v>52910</v>
      </c>
      <c r="H217">
        <v>1772</v>
      </c>
      <c r="I217">
        <v>184</v>
      </c>
      <c r="J217">
        <v>7428.64</v>
      </c>
      <c r="K217">
        <f t="shared" si="28"/>
        <v>3.3490833490833491</v>
      </c>
      <c r="L217">
        <f t="shared" si="29"/>
        <v>5.0966534988713317</v>
      </c>
      <c r="M217">
        <f t="shared" si="27"/>
        <v>49.082989130434783</v>
      </c>
      <c r="N217">
        <f t="shared" si="30"/>
        <v>0.82254655214604366</v>
      </c>
      <c r="O217">
        <f t="shared" si="31"/>
        <v>-1602.63</v>
      </c>
      <c r="P217">
        <f t="shared" si="32"/>
        <v>-903127</v>
      </c>
      <c r="Q217">
        <f t="shared" si="33"/>
        <v>2025</v>
      </c>
      <c r="R217">
        <f t="shared" si="34"/>
        <v>4</v>
      </c>
      <c r="S217">
        <f t="shared" si="35"/>
        <v>10.383747178329571</v>
      </c>
    </row>
    <row r="218" spans="1:19" x14ac:dyDescent="0.3">
      <c r="A218" t="s">
        <v>226</v>
      </c>
      <c r="B218" s="2">
        <v>45656</v>
      </c>
      <c r="C218" t="s">
        <v>514</v>
      </c>
      <c r="D218" t="s">
        <v>517</v>
      </c>
      <c r="E218">
        <v>8524.2000000000007</v>
      </c>
      <c r="F218">
        <v>8094.01</v>
      </c>
      <c r="G218">
        <v>57737</v>
      </c>
      <c r="H218">
        <v>1530</v>
      </c>
      <c r="I218">
        <v>286</v>
      </c>
      <c r="J218">
        <v>6465.78</v>
      </c>
      <c r="K218">
        <f t="shared" si="28"/>
        <v>2.6499471742556766</v>
      </c>
      <c r="L218">
        <f t="shared" si="29"/>
        <v>5.2902026143790852</v>
      </c>
      <c r="M218">
        <f t="shared" si="27"/>
        <v>28.300734265734267</v>
      </c>
      <c r="N218">
        <f t="shared" si="30"/>
        <v>0.79883518799704967</v>
      </c>
      <c r="O218">
        <f t="shared" si="31"/>
        <v>-1628.2300000000005</v>
      </c>
      <c r="P218">
        <f t="shared" si="32"/>
        <v>-809401</v>
      </c>
      <c r="Q218">
        <f t="shared" si="33"/>
        <v>2024</v>
      </c>
      <c r="R218">
        <f t="shared" si="34"/>
        <v>12</v>
      </c>
      <c r="S218">
        <f t="shared" si="35"/>
        <v>18.692810457516341</v>
      </c>
    </row>
    <row r="219" spans="1:19" x14ac:dyDescent="0.3">
      <c r="A219" t="s">
        <v>227</v>
      </c>
      <c r="B219" s="2">
        <v>45689</v>
      </c>
      <c r="C219" t="s">
        <v>512</v>
      </c>
      <c r="D219" t="s">
        <v>518</v>
      </c>
      <c r="E219">
        <v>6759.75</v>
      </c>
      <c r="F219">
        <v>6597.87</v>
      </c>
      <c r="G219">
        <v>167465</v>
      </c>
      <c r="H219">
        <v>5881</v>
      </c>
      <c r="I219">
        <v>966</v>
      </c>
      <c r="J219">
        <v>40922.839999999997</v>
      </c>
      <c r="K219">
        <f t="shared" si="28"/>
        <v>3.5117785805989308</v>
      </c>
      <c r="L219">
        <f t="shared" si="29"/>
        <v>1.1218959360652949</v>
      </c>
      <c r="M219">
        <f t="shared" si="27"/>
        <v>6.8300931677018628</v>
      </c>
      <c r="N219">
        <f t="shared" si="30"/>
        <v>6.2024319969929689</v>
      </c>
      <c r="O219">
        <f t="shared" si="31"/>
        <v>34324.969999999994</v>
      </c>
      <c r="P219">
        <f t="shared" si="32"/>
        <v>-659787.00000000023</v>
      </c>
      <c r="Q219">
        <f t="shared" si="33"/>
        <v>2025</v>
      </c>
      <c r="R219">
        <f t="shared" si="34"/>
        <v>2</v>
      </c>
      <c r="S219">
        <f t="shared" si="35"/>
        <v>16.425777928923651</v>
      </c>
    </row>
    <row r="220" spans="1:19" x14ac:dyDescent="0.3">
      <c r="A220" t="s">
        <v>228</v>
      </c>
      <c r="B220" s="2">
        <v>45727</v>
      </c>
      <c r="C220" t="s">
        <v>514</v>
      </c>
      <c r="D220" t="s">
        <v>515</v>
      </c>
      <c r="E220">
        <v>6021.62</v>
      </c>
      <c r="F220">
        <v>5047.7700000000004</v>
      </c>
      <c r="G220">
        <v>133310</v>
      </c>
      <c r="H220">
        <v>4783</v>
      </c>
      <c r="I220">
        <v>857</v>
      </c>
      <c r="J220">
        <v>24435.88</v>
      </c>
      <c r="K220">
        <f t="shared" si="28"/>
        <v>3.5878778786287597</v>
      </c>
      <c r="L220">
        <f t="shared" si="29"/>
        <v>1.0553564708342045</v>
      </c>
      <c r="M220">
        <f t="shared" si="27"/>
        <v>5.8900466744457418</v>
      </c>
      <c r="N220">
        <f t="shared" si="30"/>
        <v>4.840925794955</v>
      </c>
      <c r="O220">
        <f t="shared" si="31"/>
        <v>19388.11</v>
      </c>
      <c r="P220">
        <f t="shared" si="32"/>
        <v>-504777.00000000006</v>
      </c>
      <c r="Q220">
        <f t="shared" si="33"/>
        <v>2025</v>
      </c>
      <c r="R220">
        <f t="shared" si="34"/>
        <v>3</v>
      </c>
      <c r="S220">
        <f t="shared" si="35"/>
        <v>17.917624921597326</v>
      </c>
    </row>
    <row r="221" spans="1:19" x14ac:dyDescent="0.3">
      <c r="A221" t="s">
        <v>229</v>
      </c>
      <c r="B221" s="2">
        <v>45707</v>
      </c>
      <c r="C221" t="s">
        <v>514</v>
      </c>
      <c r="D221" t="s">
        <v>515</v>
      </c>
      <c r="E221">
        <v>5541.58</v>
      </c>
      <c r="F221">
        <v>5507.08</v>
      </c>
      <c r="G221">
        <v>113210</v>
      </c>
      <c r="H221">
        <v>1277</v>
      </c>
      <c r="I221">
        <v>208</v>
      </c>
      <c r="J221">
        <v>7721.66</v>
      </c>
      <c r="K221">
        <f t="shared" si="28"/>
        <v>1.1279922268350853</v>
      </c>
      <c r="L221">
        <f t="shared" si="29"/>
        <v>4.3125137039937353</v>
      </c>
      <c r="M221">
        <f t="shared" si="27"/>
        <v>26.476346153846155</v>
      </c>
      <c r="N221">
        <f t="shared" si="30"/>
        <v>1.4021332539204079</v>
      </c>
      <c r="O221">
        <f t="shared" si="31"/>
        <v>2214.58</v>
      </c>
      <c r="P221">
        <f t="shared" si="32"/>
        <v>-550708</v>
      </c>
      <c r="Q221">
        <f t="shared" si="33"/>
        <v>2025</v>
      </c>
      <c r="R221">
        <f t="shared" si="34"/>
        <v>2</v>
      </c>
      <c r="S221">
        <f t="shared" si="35"/>
        <v>16.288175411119813</v>
      </c>
    </row>
    <row r="222" spans="1:19" x14ac:dyDescent="0.3">
      <c r="A222" t="s">
        <v>230</v>
      </c>
      <c r="B222" s="2">
        <v>45744</v>
      </c>
      <c r="C222" t="s">
        <v>513</v>
      </c>
      <c r="D222" t="s">
        <v>516</v>
      </c>
      <c r="E222">
        <v>5492.68</v>
      </c>
      <c r="F222">
        <v>6019.73</v>
      </c>
      <c r="G222">
        <v>186208</v>
      </c>
      <c r="H222">
        <v>1504</v>
      </c>
      <c r="I222">
        <v>92</v>
      </c>
      <c r="J222">
        <v>3511.94</v>
      </c>
      <c r="K222">
        <f t="shared" si="28"/>
        <v>0.80769891733974908</v>
      </c>
      <c r="L222">
        <f t="shared" si="29"/>
        <v>4.0024800531914888</v>
      </c>
      <c r="M222">
        <f t="shared" si="27"/>
        <v>65.431847826086951</v>
      </c>
      <c r="N222">
        <f t="shared" si="30"/>
        <v>0.58340490354218555</v>
      </c>
      <c r="O222">
        <f t="shared" si="31"/>
        <v>-2507.7899999999995</v>
      </c>
      <c r="P222">
        <f t="shared" si="32"/>
        <v>-601973</v>
      </c>
      <c r="Q222">
        <f t="shared" si="33"/>
        <v>2025</v>
      </c>
      <c r="R222">
        <f t="shared" si="34"/>
        <v>3</v>
      </c>
      <c r="S222">
        <f t="shared" si="35"/>
        <v>6.1170212765957448</v>
      </c>
    </row>
    <row r="223" spans="1:19" x14ac:dyDescent="0.3">
      <c r="A223" t="s">
        <v>231</v>
      </c>
      <c r="B223" s="2">
        <v>45790</v>
      </c>
      <c r="C223" t="s">
        <v>514</v>
      </c>
      <c r="D223" t="s">
        <v>516</v>
      </c>
      <c r="E223">
        <v>4660.59</v>
      </c>
      <c r="F223">
        <v>3870.78</v>
      </c>
      <c r="G223">
        <v>197176</v>
      </c>
      <c r="H223">
        <v>7746</v>
      </c>
      <c r="I223">
        <v>512</v>
      </c>
      <c r="J223">
        <v>12587.92</v>
      </c>
      <c r="K223">
        <f t="shared" si="28"/>
        <v>3.9284699963484404</v>
      </c>
      <c r="L223">
        <f t="shared" si="29"/>
        <v>0.49971340046475604</v>
      </c>
      <c r="M223">
        <f t="shared" si="27"/>
        <v>7.5601171875000004</v>
      </c>
      <c r="N223">
        <f t="shared" si="30"/>
        <v>3.2520370571306039</v>
      </c>
      <c r="O223">
        <f t="shared" si="31"/>
        <v>8717.14</v>
      </c>
      <c r="P223">
        <f t="shared" si="32"/>
        <v>-387078.00000000006</v>
      </c>
      <c r="Q223">
        <f t="shared" si="33"/>
        <v>2025</v>
      </c>
      <c r="R223">
        <f t="shared" si="34"/>
        <v>5</v>
      </c>
      <c r="S223">
        <f t="shared" si="35"/>
        <v>6.609863155176865</v>
      </c>
    </row>
    <row r="224" spans="1:19" x14ac:dyDescent="0.3">
      <c r="A224" t="s">
        <v>232</v>
      </c>
      <c r="B224" s="2">
        <v>45675</v>
      </c>
      <c r="C224" t="s">
        <v>514</v>
      </c>
      <c r="D224" t="s">
        <v>515</v>
      </c>
      <c r="E224">
        <v>4721.7</v>
      </c>
      <c r="F224">
        <v>4004.97</v>
      </c>
      <c r="G224">
        <v>138708</v>
      </c>
      <c r="H224">
        <v>3409</v>
      </c>
      <c r="I224">
        <v>272</v>
      </c>
      <c r="J224">
        <v>6962.39</v>
      </c>
      <c r="K224">
        <f t="shared" si="28"/>
        <v>2.4576808835827779</v>
      </c>
      <c r="L224">
        <f t="shared" si="29"/>
        <v>1.1748225286007625</v>
      </c>
      <c r="M224">
        <f t="shared" si="27"/>
        <v>14.724154411764705</v>
      </c>
      <c r="N224">
        <f t="shared" si="30"/>
        <v>1.7384374914169147</v>
      </c>
      <c r="O224">
        <f t="shared" si="31"/>
        <v>2957.4200000000005</v>
      </c>
      <c r="P224">
        <f t="shared" si="32"/>
        <v>-400497</v>
      </c>
      <c r="Q224">
        <f t="shared" si="33"/>
        <v>2025</v>
      </c>
      <c r="R224">
        <f t="shared" si="34"/>
        <v>1</v>
      </c>
      <c r="S224">
        <f t="shared" si="35"/>
        <v>7.9788794367849807</v>
      </c>
    </row>
    <row r="225" spans="1:19" x14ac:dyDescent="0.3">
      <c r="A225" t="s">
        <v>233</v>
      </c>
      <c r="B225" s="2">
        <v>45751</v>
      </c>
      <c r="C225" t="s">
        <v>511</v>
      </c>
      <c r="D225" t="s">
        <v>516</v>
      </c>
      <c r="E225">
        <v>4995.67</v>
      </c>
      <c r="F225">
        <v>4256.37</v>
      </c>
      <c r="G225">
        <v>198805</v>
      </c>
      <c r="H225">
        <v>7934</v>
      </c>
      <c r="I225">
        <v>818</v>
      </c>
      <c r="J225">
        <v>38366.620000000003</v>
      </c>
      <c r="K225">
        <f t="shared" si="28"/>
        <v>3.9908453006715123</v>
      </c>
      <c r="L225">
        <f t="shared" si="29"/>
        <v>0.53647214519788256</v>
      </c>
      <c r="M225">
        <f t="shared" si="27"/>
        <v>5.2033863080684597</v>
      </c>
      <c r="N225">
        <f t="shared" si="30"/>
        <v>9.0139297100581022</v>
      </c>
      <c r="O225">
        <f t="shared" si="31"/>
        <v>34110.25</v>
      </c>
      <c r="P225">
        <f t="shared" si="32"/>
        <v>-425637.00000000023</v>
      </c>
      <c r="Q225">
        <f t="shared" si="33"/>
        <v>2025</v>
      </c>
      <c r="R225">
        <f t="shared" si="34"/>
        <v>4</v>
      </c>
      <c r="S225">
        <f t="shared" si="35"/>
        <v>10.310057978321149</v>
      </c>
    </row>
    <row r="226" spans="1:19" x14ac:dyDescent="0.3">
      <c r="A226" t="s">
        <v>234</v>
      </c>
      <c r="B226" s="2">
        <v>45806</v>
      </c>
      <c r="C226" t="s">
        <v>510</v>
      </c>
      <c r="D226" t="s">
        <v>518</v>
      </c>
      <c r="E226">
        <v>3561.64</v>
      </c>
      <c r="F226">
        <v>3409.75</v>
      </c>
      <c r="G226">
        <v>89656</v>
      </c>
      <c r="H226">
        <v>1499</v>
      </c>
      <c r="I226">
        <v>94</v>
      </c>
      <c r="J226">
        <v>3037.32</v>
      </c>
      <c r="K226">
        <f t="shared" si="28"/>
        <v>1.6719461051128759</v>
      </c>
      <c r="L226">
        <f t="shared" si="29"/>
        <v>2.2746831220813877</v>
      </c>
      <c r="M226">
        <f t="shared" si="27"/>
        <v>36.273936170212764</v>
      </c>
      <c r="N226">
        <f t="shared" si="30"/>
        <v>0.8907749835031894</v>
      </c>
      <c r="O226">
        <f t="shared" si="31"/>
        <v>-372.42999999999984</v>
      </c>
      <c r="P226">
        <f t="shared" si="32"/>
        <v>-340975</v>
      </c>
      <c r="Q226">
        <f t="shared" si="33"/>
        <v>2025</v>
      </c>
      <c r="R226">
        <f t="shared" si="34"/>
        <v>5</v>
      </c>
      <c r="S226">
        <f t="shared" si="35"/>
        <v>6.2708472314876582</v>
      </c>
    </row>
    <row r="227" spans="1:19" x14ac:dyDescent="0.3">
      <c r="A227" t="s">
        <v>235</v>
      </c>
      <c r="B227" s="2">
        <v>45643</v>
      </c>
      <c r="C227" t="s">
        <v>512</v>
      </c>
      <c r="D227" t="s">
        <v>518</v>
      </c>
      <c r="E227">
        <v>9876.65</v>
      </c>
      <c r="F227">
        <v>8233.2900000000009</v>
      </c>
      <c r="G227">
        <v>99291</v>
      </c>
      <c r="H227">
        <v>1323</v>
      </c>
      <c r="I227">
        <v>252</v>
      </c>
      <c r="J227">
        <v>8047.79</v>
      </c>
      <c r="K227">
        <f t="shared" si="28"/>
        <v>1.332447049581533</v>
      </c>
      <c r="L227">
        <f t="shared" si="29"/>
        <v>6.2231972789115657</v>
      </c>
      <c r="M227">
        <f t="shared" si="27"/>
        <v>32.671785714285718</v>
      </c>
      <c r="N227">
        <f t="shared" si="30"/>
        <v>0.97746951704604101</v>
      </c>
      <c r="O227">
        <f t="shared" si="31"/>
        <v>-185.50000000000091</v>
      </c>
      <c r="P227">
        <f t="shared" si="32"/>
        <v>-823329.00000000012</v>
      </c>
      <c r="Q227">
        <f t="shared" si="33"/>
        <v>2024</v>
      </c>
      <c r="R227">
        <f t="shared" si="34"/>
        <v>12</v>
      </c>
      <c r="S227">
        <f t="shared" si="35"/>
        <v>19.047619047619047</v>
      </c>
    </row>
    <row r="228" spans="1:19" x14ac:dyDescent="0.3">
      <c r="A228" t="s">
        <v>236</v>
      </c>
      <c r="B228" s="2">
        <v>45709</v>
      </c>
      <c r="C228" t="s">
        <v>513</v>
      </c>
      <c r="D228" t="s">
        <v>517</v>
      </c>
      <c r="E228">
        <v>9786.2900000000009</v>
      </c>
      <c r="F228">
        <v>10370.06</v>
      </c>
      <c r="G228">
        <v>111502</v>
      </c>
      <c r="H228">
        <v>5082</v>
      </c>
      <c r="I228">
        <v>149</v>
      </c>
      <c r="J228">
        <v>6632.31</v>
      </c>
      <c r="K228">
        <f t="shared" si="28"/>
        <v>4.5577657799860098</v>
      </c>
      <c r="L228">
        <f t="shared" si="29"/>
        <v>2.040547028728847</v>
      </c>
      <c r="M228">
        <f t="shared" si="27"/>
        <v>69.597718120805368</v>
      </c>
      <c r="N228">
        <f t="shared" si="30"/>
        <v>0.63956331978792802</v>
      </c>
      <c r="O228">
        <f t="shared" si="31"/>
        <v>-3737.7499999999991</v>
      </c>
      <c r="P228">
        <f t="shared" si="32"/>
        <v>-1037006</v>
      </c>
      <c r="Q228">
        <f t="shared" si="33"/>
        <v>2025</v>
      </c>
      <c r="R228">
        <f t="shared" si="34"/>
        <v>2</v>
      </c>
      <c r="S228">
        <f t="shared" si="35"/>
        <v>2.9319165682802044</v>
      </c>
    </row>
    <row r="229" spans="1:19" x14ac:dyDescent="0.3">
      <c r="A229" t="s">
        <v>237</v>
      </c>
      <c r="B229" s="2">
        <v>45703</v>
      </c>
      <c r="C229" t="s">
        <v>513</v>
      </c>
      <c r="D229" t="s">
        <v>515</v>
      </c>
      <c r="E229">
        <v>4805.32</v>
      </c>
      <c r="F229">
        <v>4090.61</v>
      </c>
      <c r="G229">
        <v>85109</v>
      </c>
      <c r="H229">
        <v>1336</v>
      </c>
      <c r="I229">
        <v>153</v>
      </c>
      <c r="J229">
        <v>6129.07</v>
      </c>
      <c r="K229">
        <f t="shared" si="28"/>
        <v>1.5697517301342983</v>
      </c>
      <c r="L229">
        <f t="shared" si="29"/>
        <v>3.0618338323353296</v>
      </c>
      <c r="M229">
        <f t="shared" si="27"/>
        <v>26.736013071895425</v>
      </c>
      <c r="N229">
        <f t="shared" si="30"/>
        <v>1.4983266554376975</v>
      </c>
      <c r="O229">
        <f t="shared" si="31"/>
        <v>2038.4599999999996</v>
      </c>
      <c r="P229">
        <f t="shared" si="32"/>
        <v>-409061</v>
      </c>
      <c r="Q229">
        <f t="shared" si="33"/>
        <v>2025</v>
      </c>
      <c r="R229">
        <f t="shared" si="34"/>
        <v>2</v>
      </c>
      <c r="S229">
        <f t="shared" si="35"/>
        <v>11.452095808383234</v>
      </c>
    </row>
    <row r="230" spans="1:19" x14ac:dyDescent="0.3">
      <c r="A230" t="s">
        <v>238</v>
      </c>
      <c r="B230" s="2">
        <v>45645</v>
      </c>
      <c r="C230" t="s">
        <v>510</v>
      </c>
      <c r="D230" t="s">
        <v>515</v>
      </c>
      <c r="E230">
        <v>9505.6299999999992</v>
      </c>
      <c r="F230">
        <v>9192.2199999999993</v>
      </c>
      <c r="G230">
        <v>92367</v>
      </c>
      <c r="H230">
        <v>1602</v>
      </c>
      <c r="I230">
        <v>166</v>
      </c>
      <c r="J230">
        <v>6166.63</v>
      </c>
      <c r="K230">
        <f t="shared" si="28"/>
        <v>1.7343856572152392</v>
      </c>
      <c r="L230">
        <f t="shared" si="29"/>
        <v>5.7379650436953806</v>
      </c>
      <c r="M230">
        <f t="shared" si="27"/>
        <v>55.374819277108429</v>
      </c>
      <c r="N230">
        <f t="shared" si="30"/>
        <v>0.67085317801358113</v>
      </c>
      <c r="O230">
        <f t="shared" si="31"/>
        <v>-3025.5899999999992</v>
      </c>
      <c r="P230">
        <f t="shared" si="32"/>
        <v>-919221.99999999988</v>
      </c>
      <c r="Q230">
        <f t="shared" si="33"/>
        <v>2024</v>
      </c>
      <c r="R230">
        <f t="shared" si="34"/>
        <v>12</v>
      </c>
      <c r="S230">
        <f t="shared" si="35"/>
        <v>10.362047440699126</v>
      </c>
    </row>
    <row r="231" spans="1:19" x14ac:dyDescent="0.3">
      <c r="A231" t="s">
        <v>239</v>
      </c>
      <c r="B231" s="2">
        <v>45792</v>
      </c>
      <c r="C231" t="s">
        <v>512</v>
      </c>
      <c r="D231" t="s">
        <v>516</v>
      </c>
      <c r="E231">
        <v>4959.8500000000004</v>
      </c>
      <c r="F231">
        <v>5112.8500000000004</v>
      </c>
      <c r="G231">
        <v>149385</v>
      </c>
      <c r="H231">
        <v>1524</v>
      </c>
      <c r="I231">
        <v>60</v>
      </c>
      <c r="J231">
        <v>1536.68</v>
      </c>
      <c r="K231">
        <f t="shared" si="28"/>
        <v>1.0201827492720152</v>
      </c>
      <c r="L231">
        <f t="shared" si="29"/>
        <v>3.35488845144357</v>
      </c>
      <c r="M231">
        <f t="shared" si="27"/>
        <v>85.214166666666671</v>
      </c>
      <c r="N231">
        <f t="shared" si="30"/>
        <v>0.30055252941118943</v>
      </c>
      <c r="O231">
        <f t="shared" si="31"/>
        <v>-3576.17</v>
      </c>
      <c r="P231">
        <f t="shared" si="32"/>
        <v>-511285.00000000006</v>
      </c>
      <c r="Q231">
        <f t="shared" si="33"/>
        <v>2025</v>
      </c>
      <c r="R231">
        <f t="shared" si="34"/>
        <v>5</v>
      </c>
      <c r="S231">
        <f t="shared" si="35"/>
        <v>3.9370078740157481</v>
      </c>
    </row>
    <row r="232" spans="1:19" x14ac:dyDescent="0.3">
      <c r="A232" t="s">
        <v>240</v>
      </c>
      <c r="B232" s="2">
        <v>45774</v>
      </c>
      <c r="C232" t="s">
        <v>512</v>
      </c>
      <c r="D232" t="s">
        <v>517</v>
      </c>
      <c r="E232">
        <v>5265.75</v>
      </c>
      <c r="F232">
        <v>4884.67</v>
      </c>
      <c r="G232">
        <v>134522</v>
      </c>
      <c r="H232">
        <v>2228</v>
      </c>
      <c r="I232">
        <v>403</v>
      </c>
      <c r="J232">
        <v>14197.01</v>
      </c>
      <c r="K232">
        <f t="shared" si="28"/>
        <v>1.6562346679353561</v>
      </c>
      <c r="L232">
        <f t="shared" si="29"/>
        <v>2.1924012567324955</v>
      </c>
      <c r="M232">
        <f t="shared" si="27"/>
        <v>12.120769230769231</v>
      </c>
      <c r="N232">
        <f t="shared" si="30"/>
        <v>2.9064419909635655</v>
      </c>
      <c r="O232">
        <f t="shared" si="31"/>
        <v>9312.34</v>
      </c>
      <c r="P232">
        <f t="shared" si="32"/>
        <v>-488467</v>
      </c>
      <c r="Q232">
        <f t="shared" si="33"/>
        <v>2025</v>
      </c>
      <c r="R232">
        <f t="shared" si="34"/>
        <v>4</v>
      </c>
      <c r="S232">
        <f t="shared" si="35"/>
        <v>18.087971274685817</v>
      </c>
    </row>
    <row r="233" spans="1:19" x14ac:dyDescent="0.3">
      <c r="A233" t="s">
        <v>241</v>
      </c>
      <c r="B233" s="2">
        <v>45734</v>
      </c>
      <c r="C233" t="s">
        <v>510</v>
      </c>
      <c r="D233" t="s">
        <v>518</v>
      </c>
      <c r="E233">
        <v>4696.87</v>
      </c>
      <c r="F233">
        <v>3919.31</v>
      </c>
      <c r="G233">
        <v>178747</v>
      </c>
      <c r="H233">
        <v>7649</v>
      </c>
      <c r="I233">
        <v>235</v>
      </c>
      <c r="J233">
        <v>9004.8700000000008</v>
      </c>
      <c r="K233">
        <f t="shared" si="28"/>
        <v>4.2792326584502121</v>
      </c>
      <c r="L233">
        <f t="shared" si="29"/>
        <v>0.51239508432474834</v>
      </c>
      <c r="M233">
        <f t="shared" si="27"/>
        <v>16.677914893617022</v>
      </c>
      <c r="N233">
        <f t="shared" si="30"/>
        <v>2.2975651326381432</v>
      </c>
      <c r="O233">
        <f t="shared" si="31"/>
        <v>5085.5600000000013</v>
      </c>
      <c r="P233">
        <f t="shared" si="32"/>
        <v>-391930.99999999994</v>
      </c>
      <c r="Q233">
        <f t="shared" si="33"/>
        <v>2025</v>
      </c>
      <c r="R233">
        <f t="shared" si="34"/>
        <v>3</v>
      </c>
      <c r="S233">
        <f t="shared" si="35"/>
        <v>3.0722970322918028</v>
      </c>
    </row>
    <row r="234" spans="1:19" x14ac:dyDescent="0.3">
      <c r="A234" t="s">
        <v>242</v>
      </c>
      <c r="B234" s="2">
        <v>45796</v>
      </c>
      <c r="C234" t="s">
        <v>513</v>
      </c>
      <c r="D234" t="s">
        <v>516</v>
      </c>
      <c r="E234">
        <v>5020.41</v>
      </c>
      <c r="F234">
        <v>4891.74</v>
      </c>
      <c r="G234">
        <v>73811</v>
      </c>
      <c r="H234">
        <v>3452</v>
      </c>
      <c r="I234">
        <v>224</v>
      </c>
      <c r="J234">
        <v>5517.32</v>
      </c>
      <c r="K234">
        <f t="shared" si="28"/>
        <v>4.676809689612659</v>
      </c>
      <c r="L234">
        <f t="shared" si="29"/>
        <v>1.4170741599073</v>
      </c>
      <c r="M234">
        <f t="shared" si="27"/>
        <v>21.838124999999998</v>
      </c>
      <c r="N234">
        <f t="shared" si="30"/>
        <v>1.1278849652679823</v>
      </c>
      <c r="O234">
        <f t="shared" si="31"/>
        <v>625.57999999999993</v>
      </c>
      <c r="P234">
        <f t="shared" si="32"/>
        <v>-489174</v>
      </c>
      <c r="Q234">
        <f t="shared" si="33"/>
        <v>2025</v>
      </c>
      <c r="R234">
        <f t="shared" si="34"/>
        <v>5</v>
      </c>
      <c r="S234">
        <f t="shared" si="35"/>
        <v>6.4889918887601388</v>
      </c>
    </row>
    <row r="235" spans="1:19" x14ac:dyDescent="0.3">
      <c r="A235" t="s">
        <v>243</v>
      </c>
      <c r="B235" s="2">
        <v>45771</v>
      </c>
      <c r="C235" t="s">
        <v>510</v>
      </c>
      <c r="D235" t="s">
        <v>518</v>
      </c>
      <c r="E235">
        <v>6367.98</v>
      </c>
      <c r="F235">
        <v>6111.84</v>
      </c>
      <c r="G235">
        <v>61124</v>
      </c>
      <c r="H235">
        <v>2912</v>
      </c>
      <c r="I235">
        <v>312</v>
      </c>
      <c r="J235">
        <v>6725.07</v>
      </c>
      <c r="K235">
        <f t="shared" si="28"/>
        <v>4.7640861200183231</v>
      </c>
      <c r="L235">
        <f t="shared" si="29"/>
        <v>2.098846153846154</v>
      </c>
      <c r="M235">
        <f t="shared" si="27"/>
        <v>19.58923076923077</v>
      </c>
      <c r="N235">
        <f t="shared" si="30"/>
        <v>1.1003347600722531</v>
      </c>
      <c r="O235">
        <f t="shared" si="31"/>
        <v>613.22999999999956</v>
      </c>
      <c r="P235">
        <f t="shared" si="32"/>
        <v>-611184</v>
      </c>
      <c r="Q235">
        <f t="shared" si="33"/>
        <v>2025</v>
      </c>
      <c r="R235">
        <f t="shared" si="34"/>
        <v>4</v>
      </c>
      <c r="S235">
        <f t="shared" si="35"/>
        <v>10.714285714285714</v>
      </c>
    </row>
    <row r="236" spans="1:19" x14ac:dyDescent="0.3">
      <c r="A236" t="s">
        <v>244</v>
      </c>
      <c r="B236" s="2">
        <v>45749</v>
      </c>
      <c r="C236" t="s">
        <v>514</v>
      </c>
      <c r="D236" t="s">
        <v>515</v>
      </c>
      <c r="E236">
        <v>5356.23</v>
      </c>
      <c r="F236">
        <v>4500.97</v>
      </c>
      <c r="G236">
        <v>65992</v>
      </c>
      <c r="H236">
        <v>3184</v>
      </c>
      <c r="I236">
        <v>311</v>
      </c>
      <c r="J236">
        <v>6811.29</v>
      </c>
      <c r="K236">
        <f t="shared" si="28"/>
        <v>4.8248272517880952</v>
      </c>
      <c r="L236">
        <f t="shared" si="29"/>
        <v>1.413621231155779</v>
      </c>
      <c r="M236">
        <f t="shared" si="27"/>
        <v>14.472572347266881</v>
      </c>
      <c r="N236">
        <f t="shared" si="30"/>
        <v>1.513293801113982</v>
      </c>
      <c r="O236">
        <f t="shared" si="31"/>
        <v>2310.3199999999997</v>
      </c>
      <c r="P236">
        <f t="shared" si="32"/>
        <v>-450097</v>
      </c>
      <c r="Q236">
        <f t="shared" si="33"/>
        <v>2025</v>
      </c>
      <c r="R236">
        <f t="shared" si="34"/>
        <v>4</v>
      </c>
      <c r="S236">
        <f t="shared" si="35"/>
        <v>9.7675879396984921</v>
      </c>
    </row>
    <row r="237" spans="1:19" x14ac:dyDescent="0.3">
      <c r="A237" t="s">
        <v>245</v>
      </c>
      <c r="B237" s="2">
        <v>45702</v>
      </c>
      <c r="C237" t="s">
        <v>512</v>
      </c>
      <c r="D237" t="s">
        <v>517</v>
      </c>
      <c r="E237">
        <v>9929.7199999999993</v>
      </c>
      <c r="F237">
        <v>8904.0400000000009</v>
      </c>
      <c r="G237">
        <v>80479</v>
      </c>
      <c r="H237">
        <v>3812</v>
      </c>
      <c r="I237">
        <v>427</v>
      </c>
      <c r="J237">
        <v>18914.490000000002</v>
      </c>
      <c r="K237">
        <f t="shared" si="28"/>
        <v>4.7366393717615782</v>
      </c>
      <c r="L237">
        <f t="shared" si="29"/>
        <v>2.3357922350472196</v>
      </c>
      <c r="M237">
        <f t="shared" si="27"/>
        <v>20.852552693208434</v>
      </c>
      <c r="N237">
        <f t="shared" si="30"/>
        <v>2.1242593249805708</v>
      </c>
      <c r="O237">
        <f t="shared" si="31"/>
        <v>10010.450000000001</v>
      </c>
      <c r="P237">
        <f t="shared" si="32"/>
        <v>-890404.00000000012</v>
      </c>
      <c r="Q237">
        <f t="shared" si="33"/>
        <v>2025</v>
      </c>
      <c r="R237">
        <f t="shared" si="34"/>
        <v>2</v>
      </c>
      <c r="S237">
        <f t="shared" si="35"/>
        <v>11.201469045120671</v>
      </c>
    </row>
    <row r="238" spans="1:19" x14ac:dyDescent="0.3">
      <c r="A238" t="s">
        <v>246</v>
      </c>
      <c r="B238" s="2">
        <v>45733</v>
      </c>
      <c r="C238" t="s">
        <v>514</v>
      </c>
      <c r="D238" t="s">
        <v>517</v>
      </c>
      <c r="E238">
        <v>4782.4799999999996</v>
      </c>
      <c r="F238">
        <v>4803.7700000000004</v>
      </c>
      <c r="G238">
        <v>65167</v>
      </c>
      <c r="H238">
        <v>3118</v>
      </c>
      <c r="I238">
        <v>343</v>
      </c>
      <c r="J238">
        <v>14682.74</v>
      </c>
      <c r="K238">
        <f t="shared" si="28"/>
        <v>4.7846302576457411</v>
      </c>
      <c r="L238">
        <f t="shared" si="29"/>
        <v>1.5406574727389353</v>
      </c>
      <c r="M238">
        <f t="shared" si="27"/>
        <v>14.005160349854229</v>
      </c>
      <c r="N238">
        <f t="shared" si="30"/>
        <v>3.0565035378463161</v>
      </c>
      <c r="O238">
        <f t="shared" si="31"/>
        <v>9878.9699999999993</v>
      </c>
      <c r="P238">
        <f t="shared" si="32"/>
        <v>-480377.00000000006</v>
      </c>
      <c r="Q238">
        <f t="shared" si="33"/>
        <v>2025</v>
      </c>
      <c r="R238">
        <f t="shared" si="34"/>
        <v>3</v>
      </c>
      <c r="S238">
        <f t="shared" si="35"/>
        <v>11.000641436818473</v>
      </c>
    </row>
    <row r="239" spans="1:19" x14ac:dyDescent="0.3">
      <c r="A239" t="s">
        <v>247</v>
      </c>
      <c r="B239" s="2">
        <v>45680</v>
      </c>
      <c r="C239" t="s">
        <v>512</v>
      </c>
      <c r="D239" t="s">
        <v>517</v>
      </c>
      <c r="E239">
        <v>7169.47</v>
      </c>
      <c r="F239">
        <v>6749.86</v>
      </c>
      <c r="G239">
        <v>109928</v>
      </c>
      <c r="H239">
        <v>2600</v>
      </c>
      <c r="I239">
        <v>192</v>
      </c>
      <c r="J239">
        <v>6212.2</v>
      </c>
      <c r="K239">
        <f t="shared" si="28"/>
        <v>2.3651844843897827</v>
      </c>
      <c r="L239">
        <f t="shared" si="29"/>
        <v>2.5960999999999999</v>
      </c>
      <c r="M239">
        <f t="shared" si="27"/>
        <v>35.155520833333334</v>
      </c>
      <c r="N239">
        <f t="shared" si="30"/>
        <v>0.92034501456326501</v>
      </c>
      <c r="O239">
        <f t="shared" si="31"/>
        <v>-537.65999999999985</v>
      </c>
      <c r="P239">
        <f t="shared" si="32"/>
        <v>-674986</v>
      </c>
      <c r="Q239">
        <f t="shared" si="33"/>
        <v>2025</v>
      </c>
      <c r="R239">
        <f t="shared" si="34"/>
        <v>1</v>
      </c>
      <c r="S239">
        <f t="shared" si="35"/>
        <v>7.384615384615385</v>
      </c>
    </row>
    <row r="240" spans="1:19" x14ac:dyDescent="0.3">
      <c r="A240" t="s">
        <v>248</v>
      </c>
      <c r="B240" s="2">
        <v>45730</v>
      </c>
      <c r="C240" t="s">
        <v>514</v>
      </c>
      <c r="D240" t="s">
        <v>516</v>
      </c>
      <c r="E240">
        <v>5442.08</v>
      </c>
      <c r="F240">
        <v>5871.24</v>
      </c>
      <c r="G240">
        <v>155287</v>
      </c>
      <c r="H240">
        <v>6156</v>
      </c>
      <c r="I240">
        <v>885</v>
      </c>
      <c r="J240">
        <v>39752.949999999997</v>
      </c>
      <c r="K240">
        <f t="shared" si="28"/>
        <v>3.9642726049186345</v>
      </c>
      <c r="L240">
        <f t="shared" si="29"/>
        <v>0.95374269005847945</v>
      </c>
      <c r="M240">
        <f t="shared" si="27"/>
        <v>6.6341694915254239</v>
      </c>
      <c r="N240">
        <f t="shared" si="30"/>
        <v>6.7707928819125085</v>
      </c>
      <c r="O240">
        <f t="shared" si="31"/>
        <v>33881.71</v>
      </c>
      <c r="P240">
        <f t="shared" si="32"/>
        <v>-587123.99999999977</v>
      </c>
      <c r="Q240">
        <f t="shared" si="33"/>
        <v>2025</v>
      </c>
      <c r="R240">
        <f t="shared" si="34"/>
        <v>3</v>
      </c>
      <c r="S240">
        <f t="shared" si="35"/>
        <v>14.376218323586745</v>
      </c>
    </row>
    <row r="241" spans="1:19" x14ac:dyDescent="0.3">
      <c r="A241" t="s">
        <v>249</v>
      </c>
      <c r="B241" s="2">
        <v>45763</v>
      </c>
      <c r="C241" t="s">
        <v>514</v>
      </c>
      <c r="D241" t="s">
        <v>517</v>
      </c>
      <c r="E241">
        <v>9755.19</v>
      </c>
      <c r="F241">
        <v>8167.91</v>
      </c>
      <c r="G241">
        <v>78740</v>
      </c>
      <c r="H241">
        <v>2383</v>
      </c>
      <c r="I241">
        <v>340</v>
      </c>
      <c r="J241">
        <v>14254.85</v>
      </c>
      <c r="K241">
        <f t="shared" si="28"/>
        <v>3.0264160528321056</v>
      </c>
      <c r="L241">
        <f t="shared" si="29"/>
        <v>3.4275744859420896</v>
      </c>
      <c r="M241">
        <f t="shared" si="27"/>
        <v>24.023264705882351</v>
      </c>
      <c r="N241">
        <f t="shared" si="30"/>
        <v>1.7452261349598612</v>
      </c>
      <c r="O241">
        <f t="shared" si="31"/>
        <v>6086.9400000000005</v>
      </c>
      <c r="P241">
        <f t="shared" si="32"/>
        <v>-816791</v>
      </c>
      <c r="Q241">
        <f t="shared" si="33"/>
        <v>2025</v>
      </c>
      <c r="R241">
        <f t="shared" si="34"/>
        <v>4</v>
      </c>
      <c r="S241">
        <f t="shared" si="35"/>
        <v>14.267729752412924</v>
      </c>
    </row>
    <row r="242" spans="1:19" x14ac:dyDescent="0.3">
      <c r="A242" t="s">
        <v>250</v>
      </c>
      <c r="B242" s="2">
        <v>45677</v>
      </c>
      <c r="C242" t="s">
        <v>514</v>
      </c>
      <c r="D242" t="s">
        <v>518</v>
      </c>
      <c r="E242">
        <v>9568.3799999999992</v>
      </c>
      <c r="F242">
        <v>8174.94</v>
      </c>
      <c r="G242">
        <v>158786</v>
      </c>
      <c r="H242">
        <v>2402</v>
      </c>
      <c r="I242">
        <v>240</v>
      </c>
      <c r="J242">
        <v>5278.77</v>
      </c>
      <c r="K242">
        <f t="shared" si="28"/>
        <v>1.5127278223520966</v>
      </c>
      <c r="L242">
        <f t="shared" si="29"/>
        <v>3.4033888426311405</v>
      </c>
      <c r="M242">
        <f t="shared" si="27"/>
        <v>34.062249999999999</v>
      </c>
      <c r="N242">
        <f t="shared" si="30"/>
        <v>0.64572584018965284</v>
      </c>
      <c r="O242">
        <f t="shared" si="31"/>
        <v>-2896.1699999999992</v>
      </c>
      <c r="P242">
        <f t="shared" si="32"/>
        <v>-817494</v>
      </c>
      <c r="Q242">
        <f t="shared" si="33"/>
        <v>2025</v>
      </c>
      <c r="R242">
        <f t="shared" si="34"/>
        <v>1</v>
      </c>
      <c r="S242">
        <f t="shared" si="35"/>
        <v>9.9916736053288915</v>
      </c>
    </row>
    <row r="243" spans="1:19" x14ac:dyDescent="0.3">
      <c r="A243" t="s">
        <v>251</v>
      </c>
      <c r="B243" s="2">
        <v>45799</v>
      </c>
      <c r="C243" t="s">
        <v>512</v>
      </c>
      <c r="D243" t="s">
        <v>516</v>
      </c>
      <c r="E243">
        <v>8187.84</v>
      </c>
      <c r="F243">
        <v>7961.38</v>
      </c>
      <c r="G243">
        <v>158182</v>
      </c>
      <c r="H243">
        <v>3562</v>
      </c>
      <c r="I243">
        <v>554</v>
      </c>
      <c r="J243">
        <v>25071.19</v>
      </c>
      <c r="K243">
        <f t="shared" si="28"/>
        <v>2.2518364921419631</v>
      </c>
      <c r="L243">
        <f t="shared" si="29"/>
        <v>2.2350870297585628</v>
      </c>
      <c r="M243">
        <f t="shared" si="27"/>
        <v>14.370722021660651</v>
      </c>
      <c r="N243">
        <f t="shared" si="30"/>
        <v>3.1491010352476581</v>
      </c>
      <c r="O243">
        <f t="shared" si="31"/>
        <v>17109.809999999998</v>
      </c>
      <c r="P243">
        <f t="shared" si="32"/>
        <v>-796138.00000000012</v>
      </c>
      <c r="Q243">
        <f t="shared" si="33"/>
        <v>2025</v>
      </c>
      <c r="R243">
        <f t="shared" si="34"/>
        <v>5</v>
      </c>
      <c r="S243">
        <f t="shared" si="35"/>
        <v>15.553060078607524</v>
      </c>
    </row>
    <row r="244" spans="1:19" x14ac:dyDescent="0.3">
      <c r="A244" t="s">
        <v>252</v>
      </c>
      <c r="B244" s="2">
        <v>45691</v>
      </c>
      <c r="C244" t="s">
        <v>513</v>
      </c>
      <c r="D244" t="s">
        <v>516</v>
      </c>
      <c r="E244">
        <v>3978.41</v>
      </c>
      <c r="F244">
        <v>4131.8999999999996</v>
      </c>
      <c r="G244">
        <v>70430</v>
      </c>
      <c r="H244">
        <v>2036</v>
      </c>
      <c r="I244">
        <v>76</v>
      </c>
      <c r="J244">
        <v>1979.71</v>
      </c>
      <c r="K244">
        <f t="shared" si="28"/>
        <v>2.8908135737611813</v>
      </c>
      <c r="L244">
        <f t="shared" si="29"/>
        <v>2.0294204322200393</v>
      </c>
      <c r="M244">
        <f t="shared" si="27"/>
        <v>54.367105263157889</v>
      </c>
      <c r="N244">
        <f t="shared" si="30"/>
        <v>0.47912824608533611</v>
      </c>
      <c r="O244">
        <f t="shared" si="31"/>
        <v>-2152.1899999999996</v>
      </c>
      <c r="P244">
        <f t="shared" si="32"/>
        <v>-413189.99999999994</v>
      </c>
      <c r="Q244">
        <f t="shared" si="33"/>
        <v>2025</v>
      </c>
      <c r="R244">
        <f t="shared" si="34"/>
        <v>2</v>
      </c>
      <c r="S244">
        <f t="shared" si="35"/>
        <v>3.7328094302554029</v>
      </c>
    </row>
    <row r="245" spans="1:19" x14ac:dyDescent="0.3">
      <c r="A245" t="s">
        <v>253</v>
      </c>
      <c r="B245" s="2">
        <v>45739</v>
      </c>
      <c r="C245" t="s">
        <v>511</v>
      </c>
      <c r="D245" t="s">
        <v>516</v>
      </c>
      <c r="E245">
        <v>4145.59</v>
      </c>
      <c r="F245">
        <v>3520.77</v>
      </c>
      <c r="G245">
        <v>53472</v>
      </c>
      <c r="H245">
        <v>1779</v>
      </c>
      <c r="I245">
        <v>127</v>
      </c>
      <c r="J245">
        <v>5643.53</v>
      </c>
      <c r="K245">
        <f t="shared" si="28"/>
        <v>3.3269748653500901</v>
      </c>
      <c r="L245">
        <f t="shared" si="29"/>
        <v>1.9790725126475548</v>
      </c>
      <c r="M245">
        <f t="shared" si="27"/>
        <v>27.72259842519685</v>
      </c>
      <c r="N245">
        <f t="shared" si="30"/>
        <v>1.6029249283537408</v>
      </c>
      <c r="O245">
        <f t="shared" si="31"/>
        <v>2122.7599999999998</v>
      </c>
      <c r="P245">
        <f t="shared" si="32"/>
        <v>-352077</v>
      </c>
      <c r="Q245">
        <f t="shared" si="33"/>
        <v>2025</v>
      </c>
      <c r="R245">
        <f t="shared" si="34"/>
        <v>3</v>
      </c>
      <c r="S245">
        <f t="shared" si="35"/>
        <v>7.1388420460933109</v>
      </c>
    </row>
    <row r="246" spans="1:19" x14ac:dyDescent="0.3">
      <c r="A246" t="s">
        <v>254</v>
      </c>
      <c r="B246" s="2">
        <v>45769</v>
      </c>
      <c r="C246" t="s">
        <v>510</v>
      </c>
      <c r="D246" t="s">
        <v>517</v>
      </c>
      <c r="E246">
        <v>7656.38</v>
      </c>
      <c r="F246">
        <v>7326.54</v>
      </c>
      <c r="G246">
        <v>65231</v>
      </c>
      <c r="H246">
        <v>2231</v>
      </c>
      <c r="I246">
        <v>352</v>
      </c>
      <c r="J246">
        <v>10829.25</v>
      </c>
      <c r="K246">
        <f t="shared" si="28"/>
        <v>3.4201529947417639</v>
      </c>
      <c r="L246">
        <f t="shared" si="29"/>
        <v>3.2839713133124158</v>
      </c>
      <c r="M246">
        <f t="shared" si="27"/>
        <v>20.81403409090909</v>
      </c>
      <c r="N246">
        <f t="shared" si="30"/>
        <v>1.4780851534284942</v>
      </c>
      <c r="O246">
        <f t="shared" si="31"/>
        <v>3502.71</v>
      </c>
      <c r="P246">
        <f t="shared" si="32"/>
        <v>-732654</v>
      </c>
      <c r="Q246">
        <f t="shared" si="33"/>
        <v>2025</v>
      </c>
      <c r="R246">
        <f t="shared" si="34"/>
        <v>4</v>
      </c>
      <c r="S246">
        <f t="shared" si="35"/>
        <v>15.777678171223666</v>
      </c>
    </row>
    <row r="247" spans="1:19" x14ac:dyDescent="0.3">
      <c r="A247" t="s">
        <v>255</v>
      </c>
      <c r="B247" s="2">
        <v>45701</v>
      </c>
      <c r="C247" t="s">
        <v>510</v>
      </c>
      <c r="D247" t="s">
        <v>518</v>
      </c>
      <c r="E247">
        <v>9140.4</v>
      </c>
      <c r="F247">
        <v>8388.4500000000007</v>
      </c>
      <c r="G247">
        <v>136646</v>
      </c>
      <c r="H247">
        <v>2540</v>
      </c>
      <c r="I247">
        <v>494</v>
      </c>
      <c r="J247">
        <v>21982</v>
      </c>
      <c r="K247">
        <f t="shared" si="28"/>
        <v>1.8588176748679068</v>
      </c>
      <c r="L247">
        <f t="shared" si="29"/>
        <v>3.3025393700787404</v>
      </c>
      <c r="M247">
        <f t="shared" si="27"/>
        <v>16.980668016194333</v>
      </c>
      <c r="N247">
        <f t="shared" si="30"/>
        <v>2.6205079603502432</v>
      </c>
      <c r="O247">
        <f t="shared" si="31"/>
        <v>13593.55</v>
      </c>
      <c r="P247">
        <f t="shared" si="32"/>
        <v>-838845.00000000012</v>
      </c>
      <c r="Q247">
        <f t="shared" si="33"/>
        <v>2025</v>
      </c>
      <c r="R247">
        <f t="shared" si="34"/>
        <v>2</v>
      </c>
      <c r="S247">
        <f t="shared" si="35"/>
        <v>19.448818897637796</v>
      </c>
    </row>
    <row r="248" spans="1:19" x14ac:dyDescent="0.3">
      <c r="A248" t="s">
        <v>256</v>
      </c>
      <c r="B248" s="2">
        <v>45652</v>
      </c>
      <c r="C248" t="s">
        <v>511</v>
      </c>
      <c r="D248" t="s">
        <v>515</v>
      </c>
      <c r="E248">
        <v>6073.94</v>
      </c>
      <c r="F248">
        <v>5546.01</v>
      </c>
      <c r="G248">
        <v>106358</v>
      </c>
      <c r="H248">
        <v>1150</v>
      </c>
      <c r="I248">
        <v>118</v>
      </c>
      <c r="J248">
        <v>3997.89</v>
      </c>
      <c r="K248">
        <f t="shared" si="28"/>
        <v>1.0812538784106509</v>
      </c>
      <c r="L248">
        <f t="shared" si="29"/>
        <v>4.8226173913043482</v>
      </c>
      <c r="M248">
        <f t="shared" si="27"/>
        <v>47.000084745762713</v>
      </c>
      <c r="N248">
        <f t="shared" si="30"/>
        <v>0.72085877955503141</v>
      </c>
      <c r="O248">
        <f t="shared" si="31"/>
        <v>-1548.1200000000003</v>
      </c>
      <c r="P248">
        <f t="shared" si="32"/>
        <v>-554601</v>
      </c>
      <c r="Q248">
        <f t="shared" si="33"/>
        <v>2024</v>
      </c>
      <c r="R248">
        <f t="shared" si="34"/>
        <v>12</v>
      </c>
      <c r="S248">
        <f t="shared" si="35"/>
        <v>10.260869565217391</v>
      </c>
    </row>
    <row r="249" spans="1:19" x14ac:dyDescent="0.3">
      <c r="A249" t="s">
        <v>257</v>
      </c>
      <c r="B249" s="2">
        <v>45733</v>
      </c>
      <c r="C249" t="s">
        <v>510</v>
      </c>
      <c r="D249" t="s">
        <v>516</v>
      </c>
      <c r="E249">
        <v>5109.6499999999996</v>
      </c>
      <c r="F249">
        <v>5233.7299999999996</v>
      </c>
      <c r="G249">
        <v>179651</v>
      </c>
      <c r="H249">
        <v>4479</v>
      </c>
      <c r="I249">
        <v>887</v>
      </c>
      <c r="J249">
        <v>31117.39</v>
      </c>
      <c r="K249">
        <f t="shared" si="28"/>
        <v>2.4931673077244212</v>
      </c>
      <c r="L249">
        <f t="shared" si="29"/>
        <v>1.1685041303862469</v>
      </c>
      <c r="M249">
        <f t="shared" si="27"/>
        <v>5.9004847801578348</v>
      </c>
      <c r="N249">
        <f t="shared" si="30"/>
        <v>5.945547439397906</v>
      </c>
      <c r="O249">
        <f t="shared" si="31"/>
        <v>25883.66</v>
      </c>
      <c r="P249">
        <f t="shared" si="32"/>
        <v>-523372.99999999994</v>
      </c>
      <c r="Q249">
        <f t="shared" si="33"/>
        <v>2025</v>
      </c>
      <c r="R249">
        <f t="shared" si="34"/>
        <v>3</v>
      </c>
      <c r="S249">
        <f t="shared" si="35"/>
        <v>19.803527573119002</v>
      </c>
    </row>
    <row r="250" spans="1:19" x14ac:dyDescent="0.3">
      <c r="A250" t="s">
        <v>258</v>
      </c>
      <c r="B250" s="2">
        <v>45773</v>
      </c>
      <c r="C250" t="s">
        <v>511</v>
      </c>
      <c r="D250" t="s">
        <v>518</v>
      </c>
      <c r="E250">
        <v>4625.49</v>
      </c>
      <c r="F250">
        <v>4948.68</v>
      </c>
      <c r="G250">
        <v>87263</v>
      </c>
      <c r="H250">
        <v>3752</v>
      </c>
      <c r="I250">
        <v>526</v>
      </c>
      <c r="J250">
        <v>16577.8</v>
      </c>
      <c r="K250">
        <f t="shared" si="28"/>
        <v>4.2996458980323853</v>
      </c>
      <c r="L250">
        <f t="shared" si="29"/>
        <v>1.3189445628997869</v>
      </c>
      <c r="M250">
        <f t="shared" si="27"/>
        <v>9.4081368821292788</v>
      </c>
      <c r="N250">
        <f t="shared" si="30"/>
        <v>3.3499438234034122</v>
      </c>
      <c r="O250">
        <f t="shared" si="31"/>
        <v>11629.119999999999</v>
      </c>
      <c r="P250">
        <f t="shared" si="32"/>
        <v>-494868</v>
      </c>
      <c r="Q250">
        <f t="shared" si="33"/>
        <v>2025</v>
      </c>
      <c r="R250">
        <f t="shared" si="34"/>
        <v>4</v>
      </c>
      <c r="S250">
        <f t="shared" si="35"/>
        <v>14.019189765458423</v>
      </c>
    </row>
    <row r="251" spans="1:19" x14ac:dyDescent="0.3">
      <c r="A251" t="s">
        <v>259</v>
      </c>
      <c r="B251" s="2">
        <v>45640</v>
      </c>
      <c r="C251" t="s">
        <v>510</v>
      </c>
      <c r="D251" t="s">
        <v>516</v>
      </c>
      <c r="E251">
        <v>6804.87</v>
      </c>
      <c r="F251">
        <v>7294.42</v>
      </c>
      <c r="G251">
        <v>142706</v>
      </c>
      <c r="H251">
        <v>4101</v>
      </c>
      <c r="I251">
        <v>124</v>
      </c>
      <c r="J251">
        <v>4802.17</v>
      </c>
      <c r="K251">
        <f t="shared" si="28"/>
        <v>2.8737404173615686</v>
      </c>
      <c r="L251">
        <f t="shared" si="29"/>
        <v>1.7786930017069007</v>
      </c>
      <c r="M251">
        <f t="shared" si="27"/>
        <v>58.825967741935486</v>
      </c>
      <c r="N251">
        <f t="shared" si="30"/>
        <v>0.65833472709276408</v>
      </c>
      <c r="O251">
        <f t="shared" si="31"/>
        <v>-2492.25</v>
      </c>
      <c r="P251">
        <f t="shared" si="32"/>
        <v>-729442</v>
      </c>
      <c r="Q251">
        <f t="shared" si="33"/>
        <v>2024</v>
      </c>
      <c r="R251">
        <f t="shared" si="34"/>
        <v>12</v>
      </c>
      <c r="S251">
        <f t="shared" si="35"/>
        <v>3.0236527676176541</v>
      </c>
    </row>
    <row r="252" spans="1:19" x14ac:dyDescent="0.3">
      <c r="A252" t="s">
        <v>260</v>
      </c>
      <c r="B252" s="2">
        <v>45712</v>
      </c>
      <c r="C252" t="s">
        <v>510</v>
      </c>
      <c r="D252" t="s">
        <v>515</v>
      </c>
      <c r="E252">
        <v>3818.29</v>
      </c>
      <c r="F252">
        <v>4131.2</v>
      </c>
      <c r="G252">
        <v>197165</v>
      </c>
      <c r="H252">
        <v>8105</v>
      </c>
      <c r="I252">
        <v>869</v>
      </c>
      <c r="J252">
        <v>33744.35</v>
      </c>
      <c r="K252">
        <f t="shared" si="28"/>
        <v>4.1107701671189112</v>
      </c>
      <c r="L252">
        <f t="shared" si="29"/>
        <v>0.50971005552128312</v>
      </c>
      <c r="M252">
        <f t="shared" si="27"/>
        <v>4.7539700805523593</v>
      </c>
      <c r="N252">
        <f t="shared" si="30"/>
        <v>8.1681714756003103</v>
      </c>
      <c r="O252">
        <f t="shared" si="31"/>
        <v>29613.149999999998</v>
      </c>
      <c r="P252">
        <f t="shared" si="32"/>
        <v>-413120.00000000006</v>
      </c>
      <c r="Q252">
        <f t="shared" si="33"/>
        <v>2025</v>
      </c>
      <c r="R252">
        <f t="shared" si="34"/>
        <v>2</v>
      </c>
      <c r="S252">
        <f t="shared" si="35"/>
        <v>10.721776681061074</v>
      </c>
    </row>
    <row r="253" spans="1:19" x14ac:dyDescent="0.3">
      <c r="A253" t="s">
        <v>261</v>
      </c>
      <c r="B253" s="2">
        <v>45692</v>
      </c>
      <c r="C253" t="s">
        <v>512</v>
      </c>
      <c r="D253" t="s">
        <v>517</v>
      </c>
      <c r="E253">
        <v>5344.34</v>
      </c>
      <c r="F253">
        <v>4498.7700000000004</v>
      </c>
      <c r="G253">
        <v>141042</v>
      </c>
      <c r="H253">
        <v>2816</v>
      </c>
      <c r="I253">
        <v>230</v>
      </c>
      <c r="J253">
        <v>10078.77</v>
      </c>
      <c r="K253">
        <f t="shared" si="28"/>
        <v>1.9965683980658244</v>
      </c>
      <c r="L253">
        <f t="shared" si="29"/>
        <v>1.5975745738636364</v>
      </c>
      <c r="M253">
        <f t="shared" si="27"/>
        <v>19.559869565217394</v>
      </c>
      <c r="N253">
        <f t="shared" si="30"/>
        <v>2.2403390260004401</v>
      </c>
      <c r="O253">
        <f t="shared" si="31"/>
        <v>5580</v>
      </c>
      <c r="P253">
        <f t="shared" si="32"/>
        <v>-449877.00000000006</v>
      </c>
      <c r="Q253">
        <f t="shared" si="33"/>
        <v>2025</v>
      </c>
      <c r="R253">
        <f t="shared" si="34"/>
        <v>2</v>
      </c>
      <c r="S253">
        <f t="shared" si="35"/>
        <v>8.1676136363636367</v>
      </c>
    </row>
    <row r="254" spans="1:19" x14ac:dyDescent="0.3">
      <c r="A254" t="s">
        <v>262</v>
      </c>
      <c r="B254" s="2">
        <v>45651</v>
      </c>
      <c r="C254" t="s">
        <v>510</v>
      </c>
      <c r="D254" t="s">
        <v>516</v>
      </c>
      <c r="E254">
        <v>7340.51</v>
      </c>
      <c r="F254">
        <v>7047.17</v>
      </c>
      <c r="G254">
        <v>103661</v>
      </c>
      <c r="H254">
        <v>3336</v>
      </c>
      <c r="I254">
        <v>394</v>
      </c>
      <c r="J254">
        <v>18445.810000000001</v>
      </c>
      <c r="K254">
        <f t="shared" si="28"/>
        <v>3.2181823443725222</v>
      </c>
      <c r="L254">
        <f t="shared" si="29"/>
        <v>2.11246103117506</v>
      </c>
      <c r="M254">
        <f t="shared" si="27"/>
        <v>17.886218274111677</v>
      </c>
      <c r="N254">
        <f t="shared" si="30"/>
        <v>2.6174776541505316</v>
      </c>
      <c r="O254">
        <f t="shared" si="31"/>
        <v>11398.640000000001</v>
      </c>
      <c r="P254">
        <f t="shared" si="32"/>
        <v>-704717</v>
      </c>
      <c r="Q254">
        <f t="shared" si="33"/>
        <v>2024</v>
      </c>
      <c r="R254">
        <f t="shared" si="34"/>
        <v>12</v>
      </c>
      <c r="S254">
        <f t="shared" si="35"/>
        <v>11.810551558752998</v>
      </c>
    </row>
    <row r="255" spans="1:19" x14ac:dyDescent="0.3">
      <c r="A255" t="s">
        <v>263</v>
      </c>
      <c r="B255" s="2">
        <v>45710</v>
      </c>
      <c r="C255" t="s">
        <v>512</v>
      </c>
      <c r="D255" t="s">
        <v>517</v>
      </c>
      <c r="E255">
        <v>8520.18</v>
      </c>
      <c r="F255">
        <v>7203.83</v>
      </c>
      <c r="G255">
        <v>71137</v>
      </c>
      <c r="H255">
        <v>2638</v>
      </c>
      <c r="I255">
        <v>60</v>
      </c>
      <c r="J255">
        <v>1761.1</v>
      </c>
      <c r="K255">
        <f t="shared" si="28"/>
        <v>3.7083374334031518</v>
      </c>
      <c r="L255">
        <f t="shared" si="29"/>
        <v>2.73079226686884</v>
      </c>
      <c r="M255">
        <f t="shared" si="27"/>
        <v>120.06383333333333</v>
      </c>
      <c r="N255">
        <f t="shared" si="30"/>
        <v>0.24446717926436354</v>
      </c>
      <c r="O255">
        <f t="shared" si="31"/>
        <v>-5442.73</v>
      </c>
      <c r="P255">
        <f t="shared" si="32"/>
        <v>-720383</v>
      </c>
      <c r="Q255">
        <f t="shared" si="33"/>
        <v>2025</v>
      </c>
      <c r="R255">
        <f t="shared" si="34"/>
        <v>2</v>
      </c>
      <c r="S255">
        <f t="shared" si="35"/>
        <v>2.2744503411675514</v>
      </c>
    </row>
    <row r="256" spans="1:19" x14ac:dyDescent="0.3">
      <c r="A256" t="s">
        <v>264</v>
      </c>
      <c r="B256" s="2">
        <v>45734</v>
      </c>
      <c r="C256" t="s">
        <v>513</v>
      </c>
      <c r="D256" t="s">
        <v>518</v>
      </c>
      <c r="E256">
        <v>4739.42</v>
      </c>
      <c r="F256">
        <v>4849.3</v>
      </c>
      <c r="G256">
        <v>109146</v>
      </c>
      <c r="H256">
        <v>3124</v>
      </c>
      <c r="I256">
        <v>400</v>
      </c>
      <c r="J256">
        <v>8402.39</v>
      </c>
      <c r="K256">
        <f t="shared" si="28"/>
        <v>2.8622212449379729</v>
      </c>
      <c r="L256">
        <f t="shared" si="29"/>
        <v>1.5522727272727272</v>
      </c>
      <c r="M256">
        <f t="shared" si="27"/>
        <v>12.123250000000001</v>
      </c>
      <c r="N256">
        <f t="shared" si="30"/>
        <v>1.7327016270389539</v>
      </c>
      <c r="O256">
        <f t="shared" si="31"/>
        <v>3553.0899999999992</v>
      </c>
      <c r="P256">
        <f t="shared" si="32"/>
        <v>-484930</v>
      </c>
      <c r="Q256">
        <f t="shared" si="33"/>
        <v>2025</v>
      </c>
      <c r="R256">
        <f t="shared" si="34"/>
        <v>3</v>
      </c>
      <c r="S256">
        <f t="shared" si="35"/>
        <v>12.804097311139564</v>
      </c>
    </row>
    <row r="257" spans="1:19" x14ac:dyDescent="0.3">
      <c r="A257" t="s">
        <v>265</v>
      </c>
      <c r="B257" s="2">
        <v>45637</v>
      </c>
      <c r="C257" t="s">
        <v>514</v>
      </c>
      <c r="D257" t="s">
        <v>516</v>
      </c>
      <c r="E257">
        <v>6989.23</v>
      </c>
      <c r="F257">
        <v>7190.08</v>
      </c>
      <c r="G257">
        <v>119284</v>
      </c>
      <c r="H257">
        <v>1389</v>
      </c>
      <c r="I257">
        <v>211</v>
      </c>
      <c r="J257">
        <v>9769.93</v>
      </c>
      <c r="K257">
        <f t="shared" si="28"/>
        <v>1.1644478723047518</v>
      </c>
      <c r="L257">
        <f t="shared" si="29"/>
        <v>5.1764434845212381</v>
      </c>
      <c r="M257">
        <f t="shared" si="27"/>
        <v>34.076208530805687</v>
      </c>
      <c r="N257">
        <f t="shared" si="30"/>
        <v>1.3588068561128668</v>
      </c>
      <c r="O257">
        <f t="shared" si="31"/>
        <v>2579.8500000000004</v>
      </c>
      <c r="P257">
        <f t="shared" si="32"/>
        <v>-719008</v>
      </c>
      <c r="Q257">
        <f t="shared" si="33"/>
        <v>2024</v>
      </c>
      <c r="R257">
        <f t="shared" si="34"/>
        <v>12</v>
      </c>
      <c r="S257">
        <f t="shared" si="35"/>
        <v>15.190784737221023</v>
      </c>
    </row>
    <row r="258" spans="1:19" x14ac:dyDescent="0.3">
      <c r="A258" t="s">
        <v>266</v>
      </c>
      <c r="B258" s="2">
        <v>45695</v>
      </c>
      <c r="C258" t="s">
        <v>514</v>
      </c>
      <c r="D258" t="s">
        <v>516</v>
      </c>
      <c r="E258">
        <v>5394.57</v>
      </c>
      <c r="F258">
        <v>5644.76</v>
      </c>
      <c r="G258">
        <v>192983</v>
      </c>
      <c r="H258">
        <v>4396</v>
      </c>
      <c r="I258">
        <v>677</v>
      </c>
      <c r="J258">
        <v>15786.93</v>
      </c>
      <c r="K258">
        <f t="shared" si="28"/>
        <v>2.2779208531321413</v>
      </c>
      <c r="L258">
        <f t="shared" si="29"/>
        <v>1.2840673339399455</v>
      </c>
      <c r="M258">
        <f t="shared" ref="M258:M321" si="36">(F258/I258)</f>
        <v>8.3379025110782869</v>
      </c>
      <c r="N258">
        <f t="shared" si="30"/>
        <v>2.7967406940241921</v>
      </c>
      <c r="O258">
        <f t="shared" si="31"/>
        <v>10142.17</v>
      </c>
      <c r="P258">
        <f t="shared" si="32"/>
        <v>-564476</v>
      </c>
      <c r="Q258">
        <f t="shared" si="33"/>
        <v>2025</v>
      </c>
      <c r="R258">
        <f t="shared" si="34"/>
        <v>2</v>
      </c>
      <c r="S258">
        <f t="shared" si="35"/>
        <v>15.400363967242948</v>
      </c>
    </row>
    <row r="259" spans="1:19" x14ac:dyDescent="0.3">
      <c r="A259" t="s">
        <v>267</v>
      </c>
      <c r="B259" s="2">
        <v>45769</v>
      </c>
      <c r="C259" t="s">
        <v>512</v>
      </c>
      <c r="D259" t="s">
        <v>517</v>
      </c>
      <c r="E259">
        <v>8925.17</v>
      </c>
      <c r="F259">
        <v>7481.49</v>
      </c>
      <c r="G259">
        <v>121420</v>
      </c>
      <c r="H259">
        <v>2619</v>
      </c>
      <c r="I259">
        <v>104</v>
      </c>
      <c r="J259">
        <v>3319.54</v>
      </c>
      <c r="K259">
        <f t="shared" ref="K259:K322" si="37">((H259/G259)*100)</f>
        <v>2.1569757865261074</v>
      </c>
      <c r="L259">
        <f t="shared" ref="L259:L322" si="38">(F259/H259)</f>
        <v>2.8566208476517754</v>
      </c>
      <c r="M259">
        <f t="shared" si="36"/>
        <v>71.937403846153842</v>
      </c>
      <c r="N259">
        <f t="shared" ref="N259:N322" si="39">(J259/F259)</f>
        <v>0.44370038588569927</v>
      </c>
      <c r="O259">
        <f t="shared" ref="O259:O322" si="40">(J259-F259)</f>
        <v>-4161.95</v>
      </c>
      <c r="P259">
        <f t="shared" ref="P259:P322" si="41">(O259-J259)*100</f>
        <v>-748149</v>
      </c>
      <c r="Q259">
        <f t="shared" ref="Q259:Q322" si="42">YEAR(B259)</f>
        <v>2025</v>
      </c>
      <c r="R259">
        <f t="shared" ref="R259:R322" si="43">MONTH(B259)</f>
        <v>4</v>
      </c>
      <c r="S259">
        <f t="shared" ref="S259:S322" si="44">(I259/H259)*100</f>
        <v>3.9709812905689192</v>
      </c>
    </row>
    <row r="260" spans="1:19" x14ac:dyDescent="0.3">
      <c r="A260" t="s">
        <v>268</v>
      </c>
      <c r="B260" s="2">
        <v>45774</v>
      </c>
      <c r="C260" t="s">
        <v>512</v>
      </c>
      <c r="D260" t="s">
        <v>517</v>
      </c>
      <c r="E260">
        <v>8581.07</v>
      </c>
      <c r="F260">
        <v>7250.79</v>
      </c>
      <c r="G260">
        <v>157129</v>
      </c>
      <c r="H260">
        <v>6144</v>
      </c>
      <c r="I260">
        <v>426</v>
      </c>
      <c r="J260">
        <v>11449.83</v>
      </c>
      <c r="K260">
        <f t="shared" si="37"/>
        <v>3.9101629870997718</v>
      </c>
      <c r="L260">
        <f t="shared" si="38"/>
        <v>1.1801416015624999</v>
      </c>
      <c r="M260">
        <f t="shared" si="36"/>
        <v>17.020633802816903</v>
      </c>
      <c r="N260">
        <f t="shared" si="39"/>
        <v>1.5791148274877633</v>
      </c>
      <c r="O260">
        <f t="shared" si="40"/>
        <v>4199.04</v>
      </c>
      <c r="P260">
        <f t="shared" si="41"/>
        <v>-725079</v>
      </c>
      <c r="Q260">
        <f t="shared" si="42"/>
        <v>2025</v>
      </c>
      <c r="R260">
        <f t="shared" si="43"/>
        <v>4</v>
      </c>
      <c r="S260">
        <f t="shared" si="44"/>
        <v>6.93359375</v>
      </c>
    </row>
    <row r="261" spans="1:19" x14ac:dyDescent="0.3">
      <c r="A261" t="s">
        <v>269</v>
      </c>
      <c r="B261" s="2">
        <v>45721</v>
      </c>
      <c r="C261" t="s">
        <v>511</v>
      </c>
      <c r="D261" t="s">
        <v>518</v>
      </c>
      <c r="E261">
        <v>8055.77</v>
      </c>
      <c r="F261">
        <v>8184.75</v>
      </c>
      <c r="G261">
        <v>194986</v>
      </c>
      <c r="H261">
        <v>2202</v>
      </c>
      <c r="I261">
        <v>364</v>
      </c>
      <c r="J261">
        <v>14281.33</v>
      </c>
      <c r="K261">
        <f t="shared" si="37"/>
        <v>1.129311848030115</v>
      </c>
      <c r="L261">
        <f t="shared" si="38"/>
        <v>3.7169618528610355</v>
      </c>
      <c r="M261">
        <f t="shared" si="36"/>
        <v>22.485576923076923</v>
      </c>
      <c r="N261">
        <f t="shared" si="39"/>
        <v>1.7448706435749413</v>
      </c>
      <c r="O261">
        <f t="shared" si="40"/>
        <v>6096.58</v>
      </c>
      <c r="P261">
        <f t="shared" si="41"/>
        <v>-818475</v>
      </c>
      <c r="Q261">
        <f t="shared" si="42"/>
        <v>2025</v>
      </c>
      <c r="R261">
        <f t="shared" si="43"/>
        <v>3</v>
      </c>
      <c r="S261">
        <f t="shared" si="44"/>
        <v>16.530426884650318</v>
      </c>
    </row>
    <row r="262" spans="1:19" x14ac:dyDescent="0.3">
      <c r="A262" t="s">
        <v>270</v>
      </c>
      <c r="B262" s="2">
        <v>45803</v>
      </c>
      <c r="C262" t="s">
        <v>512</v>
      </c>
      <c r="D262" t="s">
        <v>516</v>
      </c>
      <c r="E262">
        <v>7857.64</v>
      </c>
      <c r="F262">
        <v>7565.47</v>
      </c>
      <c r="G262">
        <v>75023</v>
      </c>
      <c r="H262">
        <v>2918</v>
      </c>
      <c r="I262">
        <v>193</v>
      </c>
      <c r="J262">
        <v>5317.92</v>
      </c>
      <c r="K262">
        <f t="shared" si="37"/>
        <v>3.8894738946723004</v>
      </c>
      <c r="L262">
        <f t="shared" si="38"/>
        <v>2.5926901987662783</v>
      </c>
      <c r="M262">
        <f t="shared" si="36"/>
        <v>39.19932642487047</v>
      </c>
      <c r="N262">
        <f t="shared" si="39"/>
        <v>0.70291997721225519</v>
      </c>
      <c r="O262">
        <f t="shared" si="40"/>
        <v>-2247.5500000000002</v>
      </c>
      <c r="P262">
        <f t="shared" si="41"/>
        <v>-756547</v>
      </c>
      <c r="Q262">
        <f t="shared" si="42"/>
        <v>2025</v>
      </c>
      <c r="R262">
        <f t="shared" si="43"/>
        <v>5</v>
      </c>
      <c r="S262">
        <f t="shared" si="44"/>
        <v>6.614119259766964</v>
      </c>
    </row>
    <row r="263" spans="1:19" x14ac:dyDescent="0.3">
      <c r="A263" t="s">
        <v>271</v>
      </c>
      <c r="B263" s="2">
        <v>45765</v>
      </c>
      <c r="C263" t="s">
        <v>510</v>
      </c>
      <c r="D263" t="s">
        <v>518</v>
      </c>
      <c r="E263">
        <v>5419.87</v>
      </c>
      <c r="F263">
        <v>4631.17</v>
      </c>
      <c r="G263">
        <v>190925</v>
      </c>
      <c r="H263">
        <v>4618</v>
      </c>
      <c r="I263">
        <v>144</v>
      </c>
      <c r="J263">
        <v>6804.51</v>
      </c>
      <c r="K263">
        <f t="shared" si="37"/>
        <v>2.4187508183841824</v>
      </c>
      <c r="L263">
        <f t="shared" si="38"/>
        <v>1.0028518839324383</v>
      </c>
      <c r="M263">
        <f t="shared" si="36"/>
        <v>32.160902777777778</v>
      </c>
      <c r="N263">
        <f t="shared" si="39"/>
        <v>1.4692852993951853</v>
      </c>
      <c r="O263">
        <f t="shared" si="40"/>
        <v>2173.34</v>
      </c>
      <c r="P263">
        <f t="shared" si="41"/>
        <v>-463117</v>
      </c>
      <c r="Q263">
        <f t="shared" si="42"/>
        <v>2025</v>
      </c>
      <c r="R263">
        <f t="shared" si="43"/>
        <v>4</v>
      </c>
      <c r="S263">
        <f t="shared" si="44"/>
        <v>3.1182330012992634</v>
      </c>
    </row>
    <row r="264" spans="1:19" x14ac:dyDescent="0.3">
      <c r="A264" t="s">
        <v>272</v>
      </c>
      <c r="B264" s="2">
        <v>45702</v>
      </c>
      <c r="C264" t="s">
        <v>514</v>
      </c>
      <c r="D264" t="s">
        <v>517</v>
      </c>
      <c r="E264">
        <v>7083.74</v>
      </c>
      <c r="F264">
        <v>6518.85</v>
      </c>
      <c r="G264">
        <v>166397</v>
      </c>
      <c r="H264">
        <v>1945</v>
      </c>
      <c r="I264">
        <v>236</v>
      </c>
      <c r="J264">
        <v>7991</v>
      </c>
      <c r="K264">
        <f t="shared" si="37"/>
        <v>1.1688912660684989</v>
      </c>
      <c r="L264">
        <f t="shared" si="38"/>
        <v>3.3515938303341906</v>
      </c>
      <c r="M264">
        <f t="shared" si="36"/>
        <v>27.622245762711866</v>
      </c>
      <c r="N264">
        <f t="shared" si="39"/>
        <v>1.2258297092278545</v>
      </c>
      <c r="O264">
        <f t="shared" si="40"/>
        <v>1472.1499999999996</v>
      </c>
      <c r="P264">
        <f t="shared" si="41"/>
        <v>-651885</v>
      </c>
      <c r="Q264">
        <f t="shared" si="42"/>
        <v>2025</v>
      </c>
      <c r="R264">
        <f t="shared" si="43"/>
        <v>2</v>
      </c>
      <c r="S264">
        <f t="shared" si="44"/>
        <v>12.133676092544988</v>
      </c>
    </row>
    <row r="265" spans="1:19" x14ac:dyDescent="0.3">
      <c r="A265" t="s">
        <v>273</v>
      </c>
      <c r="B265" s="2">
        <v>45724</v>
      </c>
      <c r="C265" t="s">
        <v>511</v>
      </c>
      <c r="D265" t="s">
        <v>515</v>
      </c>
      <c r="E265">
        <v>9630.98</v>
      </c>
      <c r="F265">
        <v>8147.86</v>
      </c>
      <c r="G265">
        <v>77672</v>
      </c>
      <c r="H265">
        <v>2185</v>
      </c>
      <c r="I265">
        <v>376</v>
      </c>
      <c r="J265">
        <v>14132.67</v>
      </c>
      <c r="K265">
        <f t="shared" si="37"/>
        <v>2.8131115459882583</v>
      </c>
      <c r="L265">
        <f t="shared" si="38"/>
        <v>3.7289977116704804</v>
      </c>
      <c r="M265">
        <f t="shared" si="36"/>
        <v>21.669840425531913</v>
      </c>
      <c r="N265">
        <f t="shared" si="39"/>
        <v>1.7345253845795092</v>
      </c>
      <c r="O265">
        <f t="shared" si="40"/>
        <v>5984.81</v>
      </c>
      <c r="P265">
        <f t="shared" si="41"/>
        <v>-814786</v>
      </c>
      <c r="Q265">
        <f t="shared" si="42"/>
        <v>2025</v>
      </c>
      <c r="R265">
        <f t="shared" si="43"/>
        <v>3</v>
      </c>
      <c r="S265">
        <f t="shared" si="44"/>
        <v>17.208237986270021</v>
      </c>
    </row>
    <row r="266" spans="1:19" x14ac:dyDescent="0.3">
      <c r="A266" t="s">
        <v>274</v>
      </c>
      <c r="B266" s="2">
        <v>45797</v>
      </c>
      <c r="C266" t="s">
        <v>511</v>
      </c>
      <c r="D266" t="s">
        <v>518</v>
      </c>
      <c r="E266">
        <v>6541.22</v>
      </c>
      <c r="F266">
        <v>6432.87</v>
      </c>
      <c r="G266">
        <v>127332</v>
      </c>
      <c r="H266">
        <v>4365</v>
      </c>
      <c r="I266">
        <v>646</v>
      </c>
      <c r="J266">
        <v>13270.98</v>
      </c>
      <c r="K266">
        <f t="shared" si="37"/>
        <v>3.4280463669776648</v>
      </c>
      <c r="L266">
        <f t="shared" si="38"/>
        <v>1.4737388316151203</v>
      </c>
      <c r="M266">
        <f t="shared" si="36"/>
        <v>9.9580030959752328</v>
      </c>
      <c r="N266">
        <f t="shared" si="39"/>
        <v>2.0629952105358882</v>
      </c>
      <c r="O266">
        <f t="shared" si="40"/>
        <v>6838.11</v>
      </c>
      <c r="P266">
        <f t="shared" si="41"/>
        <v>-643287</v>
      </c>
      <c r="Q266">
        <f t="shared" si="42"/>
        <v>2025</v>
      </c>
      <c r="R266">
        <f t="shared" si="43"/>
        <v>5</v>
      </c>
      <c r="S266">
        <f t="shared" si="44"/>
        <v>14.799541809851089</v>
      </c>
    </row>
    <row r="267" spans="1:19" x14ac:dyDescent="0.3">
      <c r="A267" t="s">
        <v>275</v>
      </c>
      <c r="B267" s="2">
        <v>45748</v>
      </c>
      <c r="C267" t="s">
        <v>513</v>
      </c>
      <c r="D267" t="s">
        <v>517</v>
      </c>
      <c r="E267">
        <v>9104.8700000000008</v>
      </c>
      <c r="F267">
        <v>9829.94</v>
      </c>
      <c r="G267">
        <v>155035</v>
      </c>
      <c r="H267">
        <v>4402</v>
      </c>
      <c r="I267">
        <v>390</v>
      </c>
      <c r="J267">
        <v>14412.06</v>
      </c>
      <c r="K267">
        <f t="shared" si="37"/>
        <v>2.8393588544522208</v>
      </c>
      <c r="L267">
        <f t="shared" si="38"/>
        <v>2.2330622444343482</v>
      </c>
      <c r="M267">
        <f t="shared" si="36"/>
        <v>25.204974358974361</v>
      </c>
      <c r="N267">
        <f t="shared" si="39"/>
        <v>1.4661391625991611</v>
      </c>
      <c r="O267">
        <f t="shared" si="40"/>
        <v>4582.119999999999</v>
      </c>
      <c r="P267">
        <f t="shared" si="41"/>
        <v>-982994</v>
      </c>
      <c r="Q267">
        <f t="shared" si="42"/>
        <v>2025</v>
      </c>
      <c r="R267">
        <f t="shared" si="43"/>
        <v>4</v>
      </c>
      <c r="S267">
        <f t="shared" si="44"/>
        <v>8.8596092685143102</v>
      </c>
    </row>
    <row r="268" spans="1:19" x14ac:dyDescent="0.3">
      <c r="A268" t="s">
        <v>276</v>
      </c>
      <c r="B268" s="2">
        <v>45798</v>
      </c>
      <c r="C268" t="s">
        <v>510</v>
      </c>
      <c r="D268" t="s">
        <v>517</v>
      </c>
      <c r="E268">
        <v>7876.56</v>
      </c>
      <c r="F268">
        <v>8481.08</v>
      </c>
      <c r="G268">
        <v>148308</v>
      </c>
      <c r="H268">
        <v>5069</v>
      </c>
      <c r="I268">
        <v>397</v>
      </c>
      <c r="J268">
        <v>16363.21</v>
      </c>
      <c r="K268">
        <f t="shared" si="37"/>
        <v>3.4178870998192954</v>
      </c>
      <c r="L268">
        <f t="shared" si="38"/>
        <v>1.6731268494772145</v>
      </c>
      <c r="M268">
        <f t="shared" si="36"/>
        <v>21.362921914357681</v>
      </c>
      <c r="N268">
        <f t="shared" si="39"/>
        <v>1.9293780980724151</v>
      </c>
      <c r="O268">
        <f t="shared" si="40"/>
        <v>7882.1299999999992</v>
      </c>
      <c r="P268">
        <f t="shared" si="41"/>
        <v>-848108</v>
      </c>
      <c r="Q268">
        <f t="shared" si="42"/>
        <v>2025</v>
      </c>
      <c r="R268">
        <f t="shared" si="43"/>
        <v>5</v>
      </c>
      <c r="S268">
        <f t="shared" si="44"/>
        <v>7.8319195107516286</v>
      </c>
    </row>
    <row r="269" spans="1:19" x14ac:dyDescent="0.3">
      <c r="A269" t="s">
        <v>277</v>
      </c>
      <c r="B269" s="2">
        <v>45713</v>
      </c>
      <c r="C269" t="s">
        <v>510</v>
      </c>
      <c r="D269" t="s">
        <v>515</v>
      </c>
      <c r="E269">
        <v>4067.77</v>
      </c>
      <c r="F269">
        <v>3957.48</v>
      </c>
      <c r="G269">
        <v>74611</v>
      </c>
      <c r="H269">
        <v>2423</v>
      </c>
      <c r="I269">
        <v>354</v>
      </c>
      <c r="J269">
        <v>13523.31</v>
      </c>
      <c r="K269">
        <f t="shared" si="37"/>
        <v>3.2475104207154444</v>
      </c>
      <c r="L269">
        <f t="shared" si="38"/>
        <v>1.6332975650020636</v>
      </c>
      <c r="M269">
        <f t="shared" si="36"/>
        <v>11.179322033898305</v>
      </c>
      <c r="N269">
        <f t="shared" si="39"/>
        <v>3.4171518238879286</v>
      </c>
      <c r="O269">
        <f t="shared" si="40"/>
        <v>9565.83</v>
      </c>
      <c r="P269">
        <f t="shared" si="41"/>
        <v>-395747.99999999994</v>
      </c>
      <c r="Q269">
        <f t="shared" si="42"/>
        <v>2025</v>
      </c>
      <c r="R269">
        <f t="shared" si="43"/>
        <v>2</v>
      </c>
      <c r="S269">
        <f t="shared" si="44"/>
        <v>14.609987618654561</v>
      </c>
    </row>
    <row r="270" spans="1:19" x14ac:dyDescent="0.3">
      <c r="A270" t="s">
        <v>278</v>
      </c>
      <c r="B270" s="2">
        <v>45776</v>
      </c>
      <c r="C270" t="s">
        <v>514</v>
      </c>
      <c r="D270" t="s">
        <v>515</v>
      </c>
      <c r="E270">
        <v>5968.91</v>
      </c>
      <c r="F270">
        <v>6093.86</v>
      </c>
      <c r="G270">
        <v>196435</v>
      </c>
      <c r="H270">
        <v>5991</v>
      </c>
      <c r="I270">
        <v>805</v>
      </c>
      <c r="J270">
        <v>38664.959999999999</v>
      </c>
      <c r="K270">
        <f t="shared" si="37"/>
        <v>3.0498638226385317</v>
      </c>
      <c r="L270">
        <f t="shared" si="38"/>
        <v>1.0171690869637791</v>
      </c>
      <c r="M270">
        <f t="shared" si="36"/>
        <v>7.5700124223602483</v>
      </c>
      <c r="N270">
        <f t="shared" si="39"/>
        <v>6.3449045432615785</v>
      </c>
      <c r="O270">
        <f t="shared" si="40"/>
        <v>32571.1</v>
      </c>
      <c r="P270">
        <f t="shared" si="41"/>
        <v>-609386</v>
      </c>
      <c r="Q270">
        <f t="shared" si="42"/>
        <v>2025</v>
      </c>
      <c r="R270">
        <f t="shared" si="43"/>
        <v>4</v>
      </c>
      <c r="S270">
        <f t="shared" si="44"/>
        <v>13.436821899515941</v>
      </c>
    </row>
    <row r="271" spans="1:19" x14ac:dyDescent="0.3">
      <c r="A271" t="s">
        <v>279</v>
      </c>
      <c r="B271" s="2">
        <v>45711</v>
      </c>
      <c r="C271" t="s">
        <v>513</v>
      </c>
      <c r="D271" t="s">
        <v>515</v>
      </c>
      <c r="E271">
        <v>9478.98</v>
      </c>
      <c r="F271">
        <v>8865.23</v>
      </c>
      <c r="G271">
        <v>50483</v>
      </c>
      <c r="H271">
        <v>1111</v>
      </c>
      <c r="I271">
        <v>104</v>
      </c>
      <c r="J271">
        <v>2433.3000000000002</v>
      </c>
      <c r="K271">
        <f t="shared" si="37"/>
        <v>2.2007408434522513</v>
      </c>
      <c r="L271">
        <f t="shared" si="38"/>
        <v>7.9795049504950493</v>
      </c>
      <c r="M271">
        <f t="shared" si="36"/>
        <v>85.242596153846151</v>
      </c>
      <c r="N271">
        <f t="shared" si="39"/>
        <v>0.27447680432430971</v>
      </c>
      <c r="O271">
        <f t="shared" si="40"/>
        <v>-6431.9299999999994</v>
      </c>
      <c r="P271">
        <f t="shared" si="41"/>
        <v>-886523</v>
      </c>
      <c r="Q271">
        <f t="shared" si="42"/>
        <v>2025</v>
      </c>
      <c r="R271">
        <f t="shared" si="43"/>
        <v>2</v>
      </c>
      <c r="S271">
        <f t="shared" si="44"/>
        <v>9.3609360936093609</v>
      </c>
    </row>
    <row r="272" spans="1:19" x14ac:dyDescent="0.3">
      <c r="A272" t="s">
        <v>280</v>
      </c>
      <c r="B272" s="2">
        <v>45817</v>
      </c>
      <c r="C272" t="s">
        <v>512</v>
      </c>
      <c r="D272" t="s">
        <v>515</v>
      </c>
      <c r="E272">
        <v>9893.89</v>
      </c>
      <c r="F272">
        <v>10405.1</v>
      </c>
      <c r="G272">
        <v>156463</v>
      </c>
      <c r="H272">
        <v>3470</v>
      </c>
      <c r="I272">
        <v>102</v>
      </c>
      <c r="J272">
        <v>2421.4699999999998</v>
      </c>
      <c r="K272">
        <f t="shared" si="37"/>
        <v>2.2177767267660724</v>
      </c>
      <c r="L272">
        <f t="shared" si="38"/>
        <v>2.9985878962536026</v>
      </c>
      <c r="M272">
        <f t="shared" si="36"/>
        <v>102.01078431372549</v>
      </c>
      <c r="N272">
        <f t="shared" si="39"/>
        <v>0.23271953176807525</v>
      </c>
      <c r="O272">
        <f t="shared" si="40"/>
        <v>-7983.630000000001</v>
      </c>
      <c r="P272">
        <f t="shared" si="41"/>
        <v>-1040510</v>
      </c>
      <c r="Q272">
        <f t="shared" si="42"/>
        <v>2025</v>
      </c>
      <c r="R272">
        <f t="shared" si="43"/>
        <v>6</v>
      </c>
      <c r="S272">
        <f t="shared" si="44"/>
        <v>2.9394812680115274</v>
      </c>
    </row>
    <row r="273" spans="1:19" x14ac:dyDescent="0.3">
      <c r="A273" t="s">
        <v>281</v>
      </c>
      <c r="B273" s="2">
        <v>45644</v>
      </c>
      <c r="C273" t="s">
        <v>512</v>
      </c>
      <c r="D273" t="s">
        <v>518</v>
      </c>
      <c r="E273">
        <v>9445.89</v>
      </c>
      <c r="F273">
        <v>10021.799999999999</v>
      </c>
      <c r="G273">
        <v>128263</v>
      </c>
      <c r="H273">
        <v>5531</v>
      </c>
      <c r="I273">
        <v>947</v>
      </c>
      <c r="J273">
        <v>33680.19</v>
      </c>
      <c r="K273">
        <f t="shared" si="37"/>
        <v>4.3122334578171415</v>
      </c>
      <c r="L273">
        <f t="shared" si="38"/>
        <v>1.8119327427228349</v>
      </c>
      <c r="M273">
        <f t="shared" si="36"/>
        <v>10.582682154171065</v>
      </c>
      <c r="N273">
        <f t="shared" si="39"/>
        <v>3.3606926899359402</v>
      </c>
      <c r="O273">
        <f t="shared" si="40"/>
        <v>23658.390000000003</v>
      </c>
      <c r="P273">
        <f t="shared" si="41"/>
        <v>-1002179.9999999999</v>
      </c>
      <c r="Q273">
        <f t="shared" si="42"/>
        <v>2024</v>
      </c>
      <c r="R273">
        <f t="shared" si="43"/>
        <v>12</v>
      </c>
      <c r="S273">
        <f t="shared" si="44"/>
        <v>17.121677815946484</v>
      </c>
    </row>
    <row r="274" spans="1:19" x14ac:dyDescent="0.3">
      <c r="A274" t="s">
        <v>282</v>
      </c>
      <c r="B274" s="2">
        <v>45768</v>
      </c>
      <c r="C274" t="s">
        <v>513</v>
      </c>
      <c r="D274" t="s">
        <v>517</v>
      </c>
      <c r="E274">
        <v>7138.93</v>
      </c>
      <c r="F274">
        <v>6565.68</v>
      </c>
      <c r="G274">
        <v>52499</v>
      </c>
      <c r="H274">
        <v>1190</v>
      </c>
      <c r="I274">
        <v>108</v>
      </c>
      <c r="J274">
        <v>2337.4299999999998</v>
      </c>
      <c r="K274">
        <f t="shared" si="37"/>
        <v>2.2667098420922303</v>
      </c>
      <c r="L274">
        <f t="shared" si="38"/>
        <v>5.5173781512605045</v>
      </c>
      <c r="M274">
        <f t="shared" si="36"/>
        <v>60.793333333333337</v>
      </c>
      <c r="N274">
        <f t="shared" si="39"/>
        <v>0.35600729855856511</v>
      </c>
      <c r="O274">
        <f t="shared" si="40"/>
        <v>-4228.25</v>
      </c>
      <c r="P274">
        <f t="shared" si="41"/>
        <v>-656568</v>
      </c>
      <c r="Q274">
        <f t="shared" si="42"/>
        <v>2025</v>
      </c>
      <c r="R274">
        <f t="shared" si="43"/>
        <v>4</v>
      </c>
      <c r="S274">
        <f t="shared" si="44"/>
        <v>9.0756302521008401</v>
      </c>
    </row>
    <row r="275" spans="1:19" x14ac:dyDescent="0.3">
      <c r="A275" t="s">
        <v>283</v>
      </c>
      <c r="B275" s="2">
        <v>45657</v>
      </c>
      <c r="C275" t="s">
        <v>510</v>
      </c>
      <c r="D275" t="s">
        <v>516</v>
      </c>
      <c r="E275">
        <v>5346.38</v>
      </c>
      <c r="F275">
        <v>5564.81</v>
      </c>
      <c r="G275">
        <v>67097</v>
      </c>
      <c r="H275">
        <v>1613</v>
      </c>
      <c r="I275">
        <v>258</v>
      </c>
      <c r="J275">
        <v>5195.8500000000004</v>
      </c>
      <c r="K275">
        <f t="shared" si="37"/>
        <v>2.4039822942903557</v>
      </c>
      <c r="L275">
        <f t="shared" si="38"/>
        <v>3.449975201487911</v>
      </c>
      <c r="M275">
        <f t="shared" si="36"/>
        <v>21.569031007751938</v>
      </c>
      <c r="N275">
        <f t="shared" si="39"/>
        <v>0.933697646460526</v>
      </c>
      <c r="O275">
        <f t="shared" si="40"/>
        <v>-368.96000000000004</v>
      </c>
      <c r="P275">
        <f t="shared" si="41"/>
        <v>-556481</v>
      </c>
      <c r="Q275">
        <f t="shared" si="42"/>
        <v>2024</v>
      </c>
      <c r="R275">
        <f t="shared" si="43"/>
        <v>12</v>
      </c>
      <c r="S275">
        <f t="shared" si="44"/>
        <v>15.995040297582145</v>
      </c>
    </row>
    <row r="276" spans="1:19" x14ac:dyDescent="0.3">
      <c r="A276" t="s">
        <v>284</v>
      </c>
      <c r="B276" s="2">
        <v>45641</v>
      </c>
      <c r="C276" t="s">
        <v>511</v>
      </c>
      <c r="D276" t="s">
        <v>518</v>
      </c>
      <c r="E276">
        <v>5334.49</v>
      </c>
      <c r="F276">
        <v>4904.8</v>
      </c>
      <c r="G276">
        <v>191774</v>
      </c>
      <c r="H276">
        <v>6884</v>
      </c>
      <c r="I276">
        <v>582</v>
      </c>
      <c r="J276">
        <v>21022.93</v>
      </c>
      <c r="K276">
        <f t="shared" si="37"/>
        <v>3.5896419744073751</v>
      </c>
      <c r="L276">
        <f t="shared" si="38"/>
        <v>0.71249273678094138</v>
      </c>
      <c r="M276">
        <f t="shared" si="36"/>
        <v>8.4274914089347082</v>
      </c>
      <c r="N276">
        <f t="shared" si="39"/>
        <v>4.28619515576578</v>
      </c>
      <c r="O276">
        <f t="shared" si="40"/>
        <v>16118.130000000001</v>
      </c>
      <c r="P276">
        <f t="shared" si="41"/>
        <v>-490479.99999999994</v>
      </c>
      <c r="Q276">
        <f t="shared" si="42"/>
        <v>2024</v>
      </c>
      <c r="R276">
        <f t="shared" si="43"/>
        <v>12</v>
      </c>
      <c r="S276">
        <f t="shared" si="44"/>
        <v>8.4543869843114479</v>
      </c>
    </row>
    <row r="277" spans="1:19" x14ac:dyDescent="0.3">
      <c r="A277" t="s">
        <v>285</v>
      </c>
      <c r="B277" s="2">
        <v>45663</v>
      </c>
      <c r="C277" t="s">
        <v>512</v>
      </c>
      <c r="D277" t="s">
        <v>518</v>
      </c>
      <c r="E277">
        <v>9438.99</v>
      </c>
      <c r="F277">
        <v>8531.94</v>
      </c>
      <c r="G277">
        <v>178702</v>
      </c>
      <c r="H277">
        <v>4580</v>
      </c>
      <c r="I277">
        <v>285</v>
      </c>
      <c r="J277">
        <v>8666.4500000000007</v>
      </c>
      <c r="K277">
        <f t="shared" si="37"/>
        <v>2.562925988517196</v>
      </c>
      <c r="L277">
        <f t="shared" si="38"/>
        <v>1.8628689956331879</v>
      </c>
      <c r="M277">
        <f t="shared" si="36"/>
        <v>29.93663157894737</v>
      </c>
      <c r="N277">
        <f t="shared" si="39"/>
        <v>1.0157654648298042</v>
      </c>
      <c r="O277">
        <f t="shared" si="40"/>
        <v>134.51000000000022</v>
      </c>
      <c r="P277">
        <f t="shared" si="41"/>
        <v>-853194</v>
      </c>
      <c r="Q277">
        <f t="shared" si="42"/>
        <v>2025</v>
      </c>
      <c r="R277">
        <f t="shared" si="43"/>
        <v>1</v>
      </c>
      <c r="S277">
        <f t="shared" si="44"/>
        <v>6.2227074235807862</v>
      </c>
    </row>
    <row r="278" spans="1:19" x14ac:dyDescent="0.3">
      <c r="A278" t="s">
        <v>286</v>
      </c>
      <c r="B278" s="2">
        <v>45668</v>
      </c>
      <c r="C278" t="s">
        <v>514</v>
      </c>
      <c r="D278" t="s">
        <v>518</v>
      </c>
      <c r="E278">
        <v>8162.51</v>
      </c>
      <c r="F278">
        <v>7637.38</v>
      </c>
      <c r="G278">
        <v>70461</v>
      </c>
      <c r="H278">
        <v>2962</v>
      </c>
      <c r="I278">
        <v>302</v>
      </c>
      <c r="J278">
        <v>8074.92</v>
      </c>
      <c r="K278">
        <f t="shared" si="37"/>
        <v>4.2037439150735869</v>
      </c>
      <c r="L278">
        <f t="shared" si="38"/>
        <v>2.5784537474679272</v>
      </c>
      <c r="M278">
        <f t="shared" si="36"/>
        <v>25.289337748344373</v>
      </c>
      <c r="N278">
        <f t="shared" si="39"/>
        <v>1.0572892798315652</v>
      </c>
      <c r="O278">
        <f t="shared" si="40"/>
        <v>437.53999999999996</v>
      </c>
      <c r="P278">
        <f t="shared" si="41"/>
        <v>-763738</v>
      </c>
      <c r="Q278">
        <f t="shared" si="42"/>
        <v>2025</v>
      </c>
      <c r="R278">
        <f t="shared" si="43"/>
        <v>1</v>
      </c>
      <c r="S278">
        <f t="shared" si="44"/>
        <v>10.195813639432815</v>
      </c>
    </row>
    <row r="279" spans="1:19" x14ac:dyDescent="0.3">
      <c r="A279" t="s">
        <v>287</v>
      </c>
      <c r="B279" s="2">
        <v>45812</v>
      </c>
      <c r="C279" t="s">
        <v>513</v>
      </c>
      <c r="D279" t="s">
        <v>515</v>
      </c>
      <c r="E279">
        <v>6167.08</v>
      </c>
      <c r="F279">
        <v>5194.2700000000004</v>
      </c>
      <c r="G279">
        <v>105961</v>
      </c>
      <c r="H279">
        <v>4343</v>
      </c>
      <c r="I279">
        <v>558</v>
      </c>
      <c r="J279">
        <v>14112.72</v>
      </c>
      <c r="K279">
        <f t="shared" si="37"/>
        <v>4.098677815422656</v>
      </c>
      <c r="L279">
        <f t="shared" si="38"/>
        <v>1.1960096707345154</v>
      </c>
      <c r="M279">
        <f t="shared" si="36"/>
        <v>9.3087275985663087</v>
      </c>
      <c r="N279">
        <f t="shared" si="39"/>
        <v>2.7169785167116838</v>
      </c>
      <c r="O279">
        <f t="shared" si="40"/>
        <v>8918.4499999999989</v>
      </c>
      <c r="P279">
        <f t="shared" si="41"/>
        <v>-519427.00000000006</v>
      </c>
      <c r="Q279">
        <f t="shared" si="42"/>
        <v>2025</v>
      </c>
      <c r="R279">
        <f t="shared" si="43"/>
        <v>6</v>
      </c>
      <c r="S279">
        <f t="shared" si="44"/>
        <v>12.84826157034308</v>
      </c>
    </row>
    <row r="280" spans="1:19" x14ac:dyDescent="0.3">
      <c r="A280" t="s">
        <v>288</v>
      </c>
      <c r="B280" s="2">
        <v>45711</v>
      </c>
      <c r="C280" t="s">
        <v>513</v>
      </c>
      <c r="D280" t="s">
        <v>516</v>
      </c>
      <c r="E280">
        <v>6488.57</v>
      </c>
      <c r="F280">
        <v>6006.32</v>
      </c>
      <c r="G280">
        <v>70597</v>
      </c>
      <c r="H280">
        <v>2706</v>
      </c>
      <c r="I280">
        <v>330</v>
      </c>
      <c r="J280">
        <v>15656.97</v>
      </c>
      <c r="K280">
        <f t="shared" si="37"/>
        <v>3.8330240661784498</v>
      </c>
      <c r="L280">
        <f t="shared" si="38"/>
        <v>2.2196304508499631</v>
      </c>
      <c r="M280">
        <f t="shared" si="36"/>
        <v>18.200969696969697</v>
      </c>
      <c r="N280">
        <f t="shared" si="39"/>
        <v>2.6067492241505614</v>
      </c>
      <c r="O280">
        <f t="shared" si="40"/>
        <v>9650.65</v>
      </c>
      <c r="P280">
        <f t="shared" si="41"/>
        <v>-600632</v>
      </c>
      <c r="Q280">
        <f t="shared" si="42"/>
        <v>2025</v>
      </c>
      <c r="R280">
        <f t="shared" si="43"/>
        <v>2</v>
      </c>
      <c r="S280">
        <f t="shared" si="44"/>
        <v>12.195121951219512</v>
      </c>
    </row>
    <row r="281" spans="1:19" x14ac:dyDescent="0.3">
      <c r="A281" t="s">
        <v>289</v>
      </c>
      <c r="B281" s="2">
        <v>45706</v>
      </c>
      <c r="C281" t="s">
        <v>510</v>
      </c>
      <c r="D281" t="s">
        <v>516</v>
      </c>
      <c r="E281">
        <v>5536.76</v>
      </c>
      <c r="F281">
        <v>5393.78</v>
      </c>
      <c r="G281">
        <v>99708</v>
      </c>
      <c r="H281">
        <v>4677</v>
      </c>
      <c r="I281">
        <v>700</v>
      </c>
      <c r="J281">
        <v>27277.55</v>
      </c>
      <c r="K281">
        <f t="shared" si="37"/>
        <v>4.6906968347574924</v>
      </c>
      <c r="L281">
        <f t="shared" si="38"/>
        <v>1.1532563609151165</v>
      </c>
      <c r="M281">
        <f t="shared" si="36"/>
        <v>7.7054</v>
      </c>
      <c r="N281">
        <f t="shared" si="39"/>
        <v>5.0572233201947432</v>
      </c>
      <c r="O281">
        <f t="shared" si="40"/>
        <v>21883.77</v>
      </c>
      <c r="P281">
        <f t="shared" si="41"/>
        <v>-539377.99999999988</v>
      </c>
      <c r="Q281">
        <f t="shared" si="42"/>
        <v>2025</v>
      </c>
      <c r="R281">
        <f t="shared" si="43"/>
        <v>2</v>
      </c>
      <c r="S281">
        <f t="shared" si="44"/>
        <v>14.966859097712209</v>
      </c>
    </row>
    <row r="282" spans="1:19" x14ac:dyDescent="0.3">
      <c r="A282" t="s">
        <v>290</v>
      </c>
      <c r="B282" s="2">
        <v>45682</v>
      </c>
      <c r="C282" t="s">
        <v>512</v>
      </c>
      <c r="D282" t="s">
        <v>516</v>
      </c>
      <c r="E282">
        <v>3091.66</v>
      </c>
      <c r="F282">
        <v>3088.76</v>
      </c>
      <c r="G282">
        <v>170519</v>
      </c>
      <c r="H282">
        <v>7134</v>
      </c>
      <c r="I282">
        <v>1220</v>
      </c>
      <c r="J282">
        <v>30916.12</v>
      </c>
      <c r="K282">
        <f t="shared" si="37"/>
        <v>4.1836980043279635</v>
      </c>
      <c r="L282">
        <f t="shared" si="38"/>
        <v>0.43296327446033084</v>
      </c>
      <c r="M282">
        <f t="shared" si="36"/>
        <v>2.5317704918032788</v>
      </c>
      <c r="N282">
        <f t="shared" si="39"/>
        <v>10.009233478807028</v>
      </c>
      <c r="O282">
        <f t="shared" si="40"/>
        <v>27827.360000000001</v>
      </c>
      <c r="P282">
        <f t="shared" si="41"/>
        <v>-308875.99999999983</v>
      </c>
      <c r="Q282">
        <f t="shared" si="42"/>
        <v>2025</v>
      </c>
      <c r="R282">
        <f t="shared" si="43"/>
        <v>1</v>
      </c>
      <c r="S282">
        <f t="shared" si="44"/>
        <v>17.101205494813566</v>
      </c>
    </row>
    <row r="283" spans="1:19" x14ac:dyDescent="0.3">
      <c r="A283" t="s">
        <v>291</v>
      </c>
      <c r="B283" s="2">
        <v>45797</v>
      </c>
      <c r="C283" t="s">
        <v>513</v>
      </c>
      <c r="D283" t="s">
        <v>515</v>
      </c>
      <c r="E283">
        <v>9727.49</v>
      </c>
      <c r="F283">
        <v>8215.83</v>
      </c>
      <c r="G283">
        <v>124323</v>
      </c>
      <c r="H283">
        <v>2448</v>
      </c>
      <c r="I283">
        <v>214</v>
      </c>
      <c r="J283">
        <v>6941.89</v>
      </c>
      <c r="K283">
        <f t="shared" si="37"/>
        <v>1.9690644530778698</v>
      </c>
      <c r="L283">
        <f t="shared" si="38"/>
        <v>3.3561397058823528</v>
      </c>
      <c r="M283">
        <f t="shared" si="36"/>
        <v>38.391728971962614</v>
      </c>
      <c r="N283">
        <f t="shared" si="39"/>
        <v>0.84494080330289212</v>
      </c>
      <c r="O283">
        <f t="shared" si="40"/>
        <v>-1273.9399999999996</v>
      </c>
      <c r="P283">
        <f t="shared" si="41"/>
        <v>-821583</v>
      </c>
      <c r="Q283">
        <f t="shared" si="42"/>
        <v>2025</v>
      </c>
      <c r="R283">
        <f t="shared" si="43"/>
        <v>5</v>
      </c>
      <c r="S283">
        <f t="shared" si="44"/>
        <v>8.7418300653594763</v>
      </c>
    </row>
    <row r="284" spans="1:19" x14ac:dyDescent="0.3">
      <c r="A284" t="s">
        <v>292</v>
      </c>
      <c r="B284" s="2">
        <v>45643</v>
      </c>
      <c r="C284" t="s">
        <v>512</v>
      </c>
      <c r="D284" t="s">
        <v>515</v>
      </c>
      <c r="E284">
        <v>3597.45</v>
      </c>
      <c r="F284">
        <v>3953.82</v>
      </c>
      <c r="G284">
        <v>92675</v>
      </c>
      <c r="H284">
        <v>1207</v>
      </c>
      <c r="I284">
        <v>133</v>
      </c>
      <c r="J284">
        <v>4663.76</v>
      </c>
      <c r="K284">
        <f t="shared" si="37"/>
        <v>1.3024008632317237</v>
      </c>
      <c r="L284">
        <f t="shared" si="38"/>
        <v>3.2757415078707539</v>
      </c>
      <c r="M284">
        <f t="shared" si="36"/>
        <v>29.727969924812033</v>
      </c>
      <c r="N284">
        <f t="shared" si="39"/>
        <v>1.1795579970762453</v>
      </c>
      <c r="O284">
        <f t="shared" si="40"/>
        <v>709.94</v>
      </c>
      <c r="P284">
        <f t="shared" si="41"/>
        <v>-395382</v>
      </c>
      <c r="Q284">
        <f t="shared" si="42"/>
        <v>2024</v>
      </c>
      <c r="R284">
        <f t="shared" si="43"/>
        <v>12</v>
      </c>
      <c r="S284">
        <f t="shared" si="44"/>
        <v>11.019055509527755</v>
      </c>
    </row>
    <row r="285" spans="1:19" x14ac:dyDescent="0.3">
      <c r="A285" t="s">
        <v>293</v>
      </c>
      <c r="B285" s="2">
        <v>45763</v>
      </c>
      <c r="C285" t="s">
        <v>510</v>
      </c>
      <c r="D285" t="s">
        <v>515</v>
      </c>
      <c r="E285">
        <v>7167.7</v>
      </c>
      <c r="F285">
        <v>5878.4</v>
      </c>
      <c r="G285">
        <v>71769</v>
      </c>
      <c r="H285">
        <v>3290</v>
      </c>
      <c r="I285">
        <v>54</v>
      </c>
      <c r="J285">
        <v>2294.94</v>
      </c>
      <c r="K285">
        <f t="shared" si="37"/>
        <v>4.5841519318925998</v>
      </c>
      <c r="L285">
        <f t="shared" si="38"/>
        <v>1.7867477203647415</v>
      </c>
      <c r="M285">
        <f t="shared" si="36"/>
        <v>108.85925925925925</v>
      </c>
      <c r="N285">
        <f t="shared" si="39"/>
        <v>0.39040215024496466</v>
      </c>
      <c r="O285">
        <f t="shared" si="40"/>
        <v>-3583.4599999999996</v>
      </c>
      <c r="P285">
        <f t="shared" si="41"/>
        <v>-587840</v>
      </c>
      <c r="Q285">
        <f t="shared" si="42"/>
        <v>2025</v>
      </c>
      <c r="R285">
        <f t="shared" si="43"/>
        <v>4</v>
      </c>
      <c r="S285">
        <f t="shared" si="44"/>
        <v>1.6413373860182372</v>
      </c>
    </row>
    <row r="286" spans="1:19" x14ac:dyDescent="0.3">
      <c r="A286" t="s">
        <v>294</v>
      </c>
      <c r="B286" s="2">
        <v>45754</v>
      </c>
      <c r="C286" t="s">
        <v>510</v>
      </c>
      <c r="D286" t="s">
        <v>516</v>
      </c>
      <c r="E286">
        <v>4469.34</v>
      </c>
      <c r="F286">
        <v>4779.58</v>
      </c>
      <c r="G286">
        <v>61798</v>
      </c>
      <c r="H286">
        <v>1170</v>
      </c>
      <c r="I286">
        <v>114</v>
      </c>
      <c r="J286">
        <v>2981.58</v>
      </c>
      <c r="K286">
        <f t="shared" si="37"/>
        <v>1.8932651542121104</v>
      </c>
      <c r="L286">
        <f t="shared" si="38"/>
        <v>4.0851111111111109</v>
      </c>
      <c r="M286">
        <f t="shared" si="36"/>
        <v>41.926140350877191</v>
      </c>
      <c r="N286">
        <f t="shared" si="39"/>
        <v>0.6238163185886626</v>
      </c>
      <c r="O286">
        <f t="shared" si="40"/>
        <v>-1798</v>
      </c>
      <c r="P286">
        <f t="shared" si="41"/>
        <v>-477958</v>
      </c>
      <c r="Q286">
        <f t="shared" si="42"/>
        <v>2025</v>
      </c>
      <c r="R286">
        <f t="shared" si="43"/>
        <v>4</v>
      </c>
      <c r="S286">
        <f t="shared" si="44"/>
        <v>9.7435897435897445</v>
      </c>
    </row>
    <row r="287" spans="1:19" x14ac:dyDescent="0.3">
      <c r="A287" t="s">
        <v>295</v>
      </c>
      <c r="B287" s="2">
        <v>45693</v>
      </c>
      <c r="C287" t="s">
        <v>514</v>
      </c>
      <c r="D287" t="s">
        <v>515</v>
      </c>
      <c r="E287">
        <v>4334.8100000000004</v>
      </c>
      <c r="F287">
        <v>3515.38</v>
      </c>
      <c r="G287">
        <v>78277</v>
      </c>
      <c r="H287">
        <v>1196</v>
      </c>
      <c r="I287">
        <v>224</v>
      </c>
      <c r="J287">
        <v>7652.29</v>
      </c>
      <c r="K287">
        <f t="shared" si="37"/>
        <v>1.5279073035502126</v>
      </c>
      <c r="L287">
        <f t="shared" si="38"/>
        <v>2.9392809364548498</v>
      </c>
      <c r="M287">
        <f t="shared" si="36"/>
        <v>15.693660714285715</v>
      </c>
      <c r="N287">
        <f t="shared" si="39"/>
        <v>2.1768030767655273</v>
      </c>
      <c r="O287">
        <f t="shared" si="40"/>
        <v>4136.91</v>
      </c>
      <c r="P287">
        <f t="shared" si="41"/>
        <v>-351538</v>
      </c>
      <c r="Q287">
        <f t="shared" si="42"/>
        <v>2025</v>
      </c>
      <c r="R287">
        <f t="shared" si="43"/>
        <v>2</v>
      </c>
      <c r="S287">
        <f t="shared" si="44"/>
        <v>18.729096989966553</v>
      </c>
    </row>
    <row r="288" spans="1:19" x14ac:dyDescent="0.3">
      <c r="A288" t="s">
        <v>296</v>
      </c>
      <c r="B288" s="2">
        <v>45814</v>
      </c>
      <c r="C288" t="s">
        <v>511</v>
      </c>
      <c r="D288" t="s">
        <v>516</v>
      </c>
      <c r="E288">
        <v>6953.89</v>
      </c>
      <c r="F288">
        <v>5700.19</v>
      </c>
      <c r="G288">
        <v>65823</v>
      </c>
      <c r="H288">
        <v>1049</v>
      </c>
      <c r="I288">
        <v>73</v>
      </c>
      <c r="J288">
        <v>3158.41</v>
      </c>
      <c r="K288">
        <f t="shared" si="37"/>
        <v>1.5936678668550506</v>
      </c>
      <c r="L288">
        <f t="shared" si="38"/>
        <v>5.433927550047664</v>
      </c>
      <c r="M288">
        <f t="shared" si="36"/>
        <v>78.084794520547945</v>
      </c>
      <c r="N288">
        <f t="shared" si="39"/>
        <v>0.55408854792559548</v>
      </c>
      <c r="O288">
        <f t="shared" si="40"/>
        <v>-2541.7799999999997</v>
      </c>
      <c r="P288">
        <f t="shared" si="41"/>
        <v>-570019</v>
      </c>
      <c r="Q288">
        <f t="shared" si="42"/>
        <v>2025</v>
      </c>
      <c r="R288">
        <f t="shared" si="43"/>
        <v>6</v>
      </c>
      <c r="S288">
        <f t="shared" si="44"/>
        <v>6.9590085795996179</v>
      </c>
    </row>
    <row r="289" spans="1:19" x14ac:dyDescent="0.3">
      <c r="A289" t="s">
        <v>297</v>
      </c>
      <c r="B289" s="2">
        <v>45738</v>
      </c>
      <c r="C289" t="s">
        <v>513</v>
      </c>
      <c r="D289" t="s">
        <v>515</v>
      </c>
      <c r="E289">
        <v>6173.02</v>
      </c>
      <c r="F289">
        <v>5909.54</v>
      </c>
      <c r="G289">
        <v>146175</v>
      </c>
      <c r="H289">
        <v>1946</v>
      </c>
      <c r="I289">
        <v>140</v>
      </c>
      <c r="J289">
        <v>4651.2</v>
      </c>
      <c r="K289">
        <f t="shared" si="37"/>
        <v>1.3312809988028049</v>
      </c>
      <c r="L289">
        <f t="shared" si="38"/>
        <v>3.0367625899280575</v>
      </c>
      <c r="M289">
        <f t="shared" si="36"/>
        <v>42.210999999999999</v>
      </c>
      <c r="N289">
        <f t="shared" si="39"/>
        <v>0.78706633680455662</v>
      </c>
      <c r="O289">
        <f t="shared" si="40"/>
        <v>-1258.3400000000001</v>
      </c>
      <c r="P289">
        <f t="shared" si="41"/>
        <v>-590954</v>
      </c>
      <c r="Q289">
        <f t="shared" si="42"/>
        <v>2025</v>
      </c>
      <c r="R289">
        <f t="shared" si="43"/>
        <v>3</v>
      </c>
      <c r="S289">
        <f t="shared" si="44"/>
        <v>7.1942446043165464</v>
      </c>
    </row>
    <row r="290" spans="1:19" x14ac:dyDescent="0.3">
      <c r="A290" t="s">
        <v>298</v>
      </c>
      <c r="B290" s="2">
        <v>45642</v>
      </c>
      <c r="C290" t="s">
        <v>510</v>
      </c>
      <c r="D290" t="s">
        <v>517</v>
      </c>
      <c r="E290">
        <v>5805.34</v>
      </c>
      <c r="F290">
        <v>5618.94</v>
      </c>
      <c r="G290">
        <v>102654</v>
      </c>
      <c r="H290">
        <v>4465</v>
      </c>
      <c r="I290">
        <v>500</v>
      </c>
      <c r="J290">
        <v>12328.6</v>
      </c>
      <c r="K290">
        <f t="shared" si="37"/>
        <v>4.34956260837376</v>
      </c>
      <c r="L290">
        <f t="shared" si="38"/>
        <v>1.258441209406495</v>
      </c>
      <c r="M290">
        <f t="shared" si="36"/>
        <v>11.237879999999999</v>
      </c>
      <c r="N290">
        <f t="shared" si="39"/>
        <v>2.1941149042346066</v>
      </c>
      <c r="O290">
        <f t="shared" si="40"/>
        <v>6709.6600000000008</v>
      </c>
      <c r="P290">
        <f t="shared" si="41"/>
        <v>-561894</v>
      </c>
      <c r="Q290">
        <f t="shared" si="42"/>
        <v>2024</v>
      </c>
      <c r="R290">
        <f t="shared" si="43"/>
        <v>12</v>
      </c>
      <c r="S290">
        <f t="shared" si="44"/>
        <v>11.198208286674133</v>
      </c>
    </row>
    <row r="291" spans="1:19" x14ac:dyDescent="0.3">
      <c r="A291" t="s">
        <v>299</v>
      </c>
      <c r="B291" s="2">
        <v>45675</v>
      </c>
      <c r="C291" t="s">
        <v>512</v>
      </c>
      <c r="D291" t="s">
        <v>518</v>
      </c>
      <c r="E291">
        <v>4273.5</v>
      </c>
      <c r="F291">
        <v>4523.6499999999996</v>
      </c>
      <c r="G291">
        <v>68829</v>
      </c>
      <c r="H291">
        <v>1090</v>
      </c>
      <c r="I291">
        <v>124</v>
      </c>
      <c r="J291">
        <v>5999.55</v>
      </c>
      <c r="K291">
        <f t="shared" si="37"/>
        <v>1.5836348050966891</v>
      </c>
      <c r="L291">
        <f t="shared" si="38"/>
        <v>4.1501376146788989</v>
      </c>
      <c r="M291">
        <f t="shared" si="36"/>
        <v>36.48104838709677</v>
      </c>
      <c r="N291">
        <f t="shared" si="39"/>
        <v>1.3262630840140153</v>
      </c>
      <c r="O291">
        <f t="shared" si="40"/>
        <v>1475.9000000000005</v>
      </c>
      <c r="P291">
        <f t="shared" si="41"/>
        <v>-452364.99999999994</v>
      </c>
      <c r="Q291">
        <f t="shared" si="42"/>
        <v>2025</v>
      </c>
      <c r="R291">
        <f t="shared" si="43"/>
        <v>1</v>
      </c>
      <c r="S291">
        <f t="shared" si="44"/>
        <v>11.376146788990827</v>
      </c>
    </row>
    <row r="292" spans="1:19" x14ac:dyDescent="0.3">
      <c r="A292" t="s">
        <v>300</v>
      </c>
      <c r="B292" s="2">
        <v>45665</v>
      </c>
      <c r="C292" t="s">
        <v>512</v>
      </c>
      <c r="D292" t="s">
        <v>516</v>
      </c>
      <c r="E292">
        <v>5613.17</v>
      </c>
      <c r="F292">
        <v>4946.46</v>
      </c>
      <c r="G292">
        <v>112356</v>
      </c>
      <c r="H292">
        <v>4894</v>
      </c>
      <c r="I292">
        <v>191</v>
      </c>
      <c r="J292">
        <v>7510.12</v>
      </c>
      <c r="K292">
        <f t="shared" si="37"/>
        <v>4.3557976432055252</v>
      </c>
      <c r="L292">
        <f t="shared" si="38"/>
        <v>1.0107192480588476</v>
      </c>
      <c r="M292">
        <f t="shared" si="36"/>
        <v>25.897696335078535</v>
      </c>
      <c r="N292">
        <f t="shared" si="39"/>
        <v>1.5182817610978356</v>
      </c>
      <c r="O292">
        <f t="shared" si="40"/>
        <v>2563.66</v>
      </c>
      <c r="P292">
        <f t="shared" si="41"/>
        <v>-494646</v>
      </c>
      <c r="Q292">
        <f t="shared" si="42"/>
        <v>2025</v>
      </c>
      <c r="R292">
        <f t="shared" si="43"/>
        <v>1</v>
      </c>
      <c r="S292">
        <f t="shared" si="44"/>
        <v>3.902738046587658</v>
      </c>
    </row>
    <row r="293" spans="1:19" x14ac:dyDescent="0.3">
      <c r="A293" t="s">
        <v>301</v>
      </c>
      <c r="B293" s="2">
        <v>45661</v>
      </c>
      <c r="C293" t="s">
        <v>512</v>
      </c>
      <c r="D293" t="s">
        <v>518</v>
      </c>
      <c r="E293">
        <v>5861.14</v>
      </c>
      <c r="F293">
        <v>4733.55</v>
      </c>
      <c r="G293">
        <v>195477</v>
      </c>
      <c r="H293">
        <v>3560</v>
      </c>
      <c r="I293">
        <v>118</v>
      </c>
      <c r="J293">
        <v>2912.78</v>
      </c>
      <c r="K293">
        <f t="shared" si="37"/>
        <v>1.8211861241987548</v>
      </c>
      <c r="L293">
        <f t="shared" si="38"/>
        <v>1.3296488764044945</v>
      </c>
      <c r="M293">
        <f t="shared" si="36"/>
        <v>40.114830508474576</v>
      </c>
      <c r="N293">
        <f t="shared" si="39"/>
        <v>0.61534788900508075</v>
      </c>
      <c r="O293">
        <f t="shared" si="40"/>
        <v>-1820.77</v>
      </c>
      <c r="P293">
        <f t="shared" si="41"/>
        <v>-473355</v>
      </c>
      <c r="Q293">
        <f t="shared" si="42"/>
        <v>2025</v>
      </c>
      <c r="R293">
        <f t="shared" si="43"/>
        <v>1</v>
      </c>
      <c r="S293">
        <f t="shared" si="44"/>
        <v>3.314606741573034</v>
      </c>
    </row>
    <row r="294" spans="1:19" x14ac:dyDescent="0.3">
      <c r="A294" t="s">
        <v>302</v>
      </c>
      <c r="B294" s="2">
        <v>45791</v>
      </c>
      <c r="C294" t="s">
        <v>511</v>
      </c>
      <c r="D294" t="s">
        <v>516</v>
      </c>
      <c r="E294">
        <v>8011.81</v>
      </c>
      <c r="F294">
        <v>7993.2</v>
      </c>
      <c r="G294">
        <v>161797</v>
      </c>
      <c r="H294">
        <v>6944</v>
      </c>
      <c r="I294">
        <v>396</v>
      </c>
      <c r="J294">
        <v>8241.9</v>
      </c>
      <c r="K294">
        <f t="shared" si="37"/>
        <v>4.2917977465589594</v>
      </c>
      <c r="L294">
        <f t="shared" si="38"/>
        <v>1.151094470046083</v>
      </c>
      <c r="M294">
        <f t="shared" si="36"/>
        <v>20.184848484848484</v>
      </c>
      <c r="N294">
        <f t="shared" si="39"/>
        <v>1.0311139468548265</v>
      </c>
      <c r="O294">
        <f t="shared" si="40"/>
        <v>248.69999999999982</v>
      </c>
      <c r="P294">
        <f t="shared" si="41"/>
        <v>-799320</v>
      </c>
      <c r="Q294">
        <f t="shared" si="42"/>
        <v>2025</v>
      </c>
      <c r="R294">
        <f t="shared" si="43"/>
        <v>5</v>
      </c>
      <c r="S294">
        <f t="shared" si="44"/>
        <v>5.7027649769585258</v>
      </c>
    </row>
    <row r="295" spans="1:19" x14ac:dyDescent="0.3">
      <c r="A295" t="s">
        <v>303</v>
      </c>
      <c r="B295" s="2">
        <v>45789</v>
      </c>
      <c r="C295" t="s">
        <v>511</v>
      </c>
      <c r="D295" t="s">
        <v>515</v>
      </c>
      <c r="E295">
        <v>4553.8100000000004</v>
      </c>
      <c r="F295">
        <v>3958.73</v>
      </c>
      <c r="G295">
        <v>191829</v>
      </c>
      <c r="H295">
        <v>3686</v>
      </c>
      <c r="I295">
        <v>217</v>
      </c>
      <c r="J295">
        <v>8714.02</v>
      </c>
      <c r="K295">
        <f t="shared" si="37"/>
        <v>1.9215030052807447</v>
      </c>
      <c r="L295">
        <f t="shared" si="38"/>
        <v>1.0739907759088443</v>
      </c>
      <c r="M295">
        <f t="shared" si="36"/>
        <v>18.242995391705069</v>
      </c>
      <c r="N295">
        <f t="shared" si="39"/>
        <v>2.2012160465603867</v>
      </c>
      <c r="O295">
        <f t="shared" si="40"/>
        <v>4755.2900000000009</v>
      </c>
      <c r="P295">
        <f t="shared" si="41"/>
        <v>-395872.99999999994</v>
      </c>
      <c r="Q295">
        <f t="shared" si="42"/>
        <v>2025</v>
      </c>
      <c r="R295">
        <f t="shared" si="43"/>
        <v>5</v>
      </c>
      <c r="S295">
        <f t="shared" si="44"/>
        <v>5.8871405317417258</v>
      </c>
    </row>
    <row r="296" spans="1:19" x14ac:dyDescent="0.3">
      <c r="A296" t="s">
        <v>304</v>
      </c>
      <c r="B296" s="2">
        <v>45735</v>
      </c>
      <c r="C296" t="s">
        <v>510</v>
      </c>
      <c r="D296" t="s">
        <v>518</v>
      </c>
      <c r="E296">
        <v>3137.97</v>
      </c>
      <c r="F296">
        <v>2608.38</v>
      </c>
      <c r="G296">
        <v>54030</v>
      </c>
      <c r="H296">
        <v>2101</v>
      </c>
      <c r="I296">
        <v>226</v>
      </c>
      <c r="J296">
        <v>9943.43</v>
      </c>
      <c r="K296">
        <f t="shared" si="37"/>
        <v>3.8885804182861374</v>
      </c>
      <c r="L296">
        <f t="shared" si="38"/>
        <v>1.2414945264159924</v>
      </c>
      <c r="M296">
        <f t="shared" si="36"/>
        <v>11.541504424778761</v>
      </c>
      <c r="N296">
        <f t="shared" si="39"/>
        <v>3.8121094319079276</v>
      </c>
      <c r="O296">
        <f t="shared" si="40"/>
        <v>7335.05</v>
      </c>
      <c r="P296">
        <f t="shared" si="41"/>
        <v>-260838</v>
      </c>
      <c r="Q296">
        <f t="shared" si="42"/>
        <v>2025</v>
      </c>
      <c r="R296">
        <f t="shared" si="43"/>
        <v>3</v>
      </c>
      <c r="S296">
        <f t="shared" si="44"/>
        <v>10.756782484531175</v>
      </c>
    </row>
    <row r="297" spans="1:19" x14ac:dyDescent="0.3">
      <c r="A297" t="s">
        <v>305</v>
      </c>
      <c r="B297" s="2">
        <v>45814</v>
      </c>
      <c r="C297" t="s">
        <v>511</v>
      </c>
      <c r="D297" t="s">
        <v>517</v>
      </c>
      <c r="E297">
        <v>4249.8100000000004</v>
      </c>
      <c r="F297">
        <v>4232.0600000000004</v>
      </c>
      <c r="G297">
        <v>134964</v>
      </c>
      <c r="H297">
        <v>2504</v>
      </c>
      <c r="I297">
        <v>293</v>
      </c>
      <c r="J297">
        <v>7953.63</v>
      </c>
      <c r="K297">
        <f t="shared" si="37"/>
        <v>1.8553095640318902</v>
      </c>
      <c r="L297">
        <f t="shared" si="38"/>
        <v>1.6901198083067095</v>
      </c>
      <c r="M297">
        <f t="shared" si="36"/>
        <v>14.443890784982937</v>
      </c>
      <c r="N297">
        <f t="shared" si="39"/>
        <v>1.8793755287023339</v>
      </c>
      <c r="O297">
        <f t="shared" si="40"/>
        <v>3721.5699999999997</v>
      </c>
      <c r="P297">
        <f t="shared" si="41"/>
        <v>-423206.00000000006</v>
      </c>
      <c r="Q297">
        <f t="shared" si="42"/>
        <v>2025</v>
      </c>
      <c r="R297">
        <f t="shared" si="43"/>
        <v>6</v>
      </c>
      <c r="S297">
        <f t="shared" si="44"/>
        <v>11.701277955271564</v>
      </c>
    </row>
    <row r="298" spans="1:19" x14ac:dyDescent="0.3">
      <c r="A298" t="s">
        <v>306</v>
      </c>
      <c r="B298" s="2">
        <v>45702</v>
      </c>
      <c r="C298" t="s">
        <v>513</v>
      </c>
      <c r="D298" t="s">
        <v>517</v>
      </c>
      <c r="E298">
        <v>3696.09</v>
      </c>
      <c r="F298">
        <v>3226.51</v>
      </c>
      <c r="G298">
        <v>99410</v>
      </c>
      <c r="H298">
        <v>4795</v>
      </c>
      <c r="I298">
        <v>100</v>
      </c>
      <c r="J298">
        <v>4166.8</v>
      </c>
      <c r="K298">
        <f t="shared" si="37"/>
        <v>4.8234584045870639</v>
      </c>
      <c r="L298">
        <f t="shared" si="38"/>
        <v>0.67289051094890517</v>
      </c>
      <c r="M298">
        <f t="shared" si="36"/>
        <v>32.265100000000004</v>
      </c>
      <c r="N298">
        <f t="shared" si="39"/>
        <v>1.2914263399152643</v>
      </c>
      <c r="O298">
        <f t="shared" si="40"/>
        <v>940.29</v>
      </c>
      <c r="P298">
        <f t="shared" si="41"/>
        <v>-322651</v>
      </c>
      <c r="Q298">
        <f t="shared" si="42"/>
        <v>2025</v>
      </c>
      <c r="R298">
        <f t="shared" si="43"/>
        <v>2</v>
      </c>
      <c r="S298">
        <f t="shared" si="44"/>
        <v>2.0855057351407713</v>
      </c>
    </row>
    <row r="299" spans="1:19" x14ac:dyDescent="0.3">
      <c r="A299" t="s">
        <v>307</v>
      </c>
      <c r="B299" s="2">
        <v>45655</v>
      </c>
      <c r="C299" t="s">
        <v>510</v>
      </c>
      <c r="D299" t="s">
        <v>516</v>
      </c>
      <c r="E299">
        <v>8989.8799999999992</v>
      </c>
      <c r="F299">
        <v>9430.98</v>
      </c>
      <c r="G299">
        <v>152642</v>
      </c>
      <c r="H299">
        <v>2474</v>
      </c>
      <c r="I299">
        <v>292</v>
      </c>
      <c r="J299">
        <v>9319.33</v>
      </c>
      <c r="K299">
        <f t="shared" si="37"/>
        <v>1.6207858911701889</v>
      </c>
      <c r="L299">
        <f t="shared" si="38"/>
        <v>3.8120371867421179</v>
      </c>
      <c r="M299">
        <f t="shared" si="36"/>
        <v>32.297876712328765</v>
      </c>
      <c r="N299">
        <f t="shared" si="39"/>
        <v>0.98816135756835455</v>
      </c>
      <c r="O299">
        <f t="shared" si="40"/>
        <v>-111.64999999999964</v>
      </c>
      <c r="P299">
        <f t="shared" si="41"/>
        <v>-943098</v>
      </c>
      <c r="Q299">
        <f t="shared" si="42"/>
        <v>2024</v>
      </c>
      <c r="R299">
        <f t="shared" si="43"/>
        <v>12</v>
      </c>
      <c r="S299">
        <f t="shared" si="44"/>
        <v>11.802748585286984</v>
      </c>
    </row>
    <row r="300" spans="1:19" x14ac:dyDescent="0.3">
      <c r="A300" t="s">
        <v>308</v>
      </c>
      <c r="B300" s="2">
        <v>45756</v>
      </c>
      <c r="C300" t="s">
        <v>512</v>
      </c>
      <c r="D300" t="s">
        <v>515</v>
      </c>
      <c r="E300">
        <v>7676.6</v>
      </c>
      <c r="F300">
        <v>6613.35</v>
      </c>
      <c r="G300">
        <v>111235</v>
      </c>
      <c r="H300">
        <v>4808</v>
      </c>
      <c r="I300">
        <v>370</v>
      </c>
      <c r="J300">
        <v>10653.94</v>
      </c>
      <c r="K300">
        <f t="shared" si="37"/>
        <v>4.3223805456915541</v>
      </c>
      <c r="L300">
        <f t="shared" si="38"/>
        <v>1.375488768718802</v>
      </c>
      <c r="M300">
        <f t="shared" si="36"/>
        <v>17.873918918918921</v>
      </c>
      <c r="N300">
        <f t="shared" si="39"/>
        <v>1.6109747707289044</v>
      </c>
      <c r="O300">
        <f t="shared" si="40"/>
        <v>4040.59</v>
      </c>
      <c r="P300">
        <f t="shared" si="41"/>
        <v>-661335</v>
      </c>
      <c r="Q300">
        <f t="shared" si="42"/>
        <v>2025</v>
      </c>
      <c r="R300">
        <f t="shared" si="43"/>
        <v>4</v>
      </c>
      <c r="S300">
        <f t="shared" si="44"/>
        <v>7.6955074875207989</v>
      </c>
    </row>
    <row r="301" spans="1:19" x14ac:dyDescent="0.3">
      <c r="A301" t="s">
        <v>309</v>
      </c>
      <c r="B301" s="2">
        <v>45718</v>
      </c>
      <c r="C301" t="s">
        <v>513</v>
      </c>
      <c r="D301" t="s">
        <v>515</v>
      </c>
      <c r="E301">
        <v>9274.35</v>
      </c>
      <c r="F301">
        <v>7455.66</v>
      </c>
      <c r="G301">
        <v>195593</v>
      </c>
      <c r="H301">
        <v>5136</v>
      </c>
      <c r="I301">
        <v>798</v>
      </c>
      <c r="J301">
        <v>18007.07</v>
      </c>
      <c r="K301">
        <f t="shared" si="37"/>
        <v>2.6258608436907251</v>
      </c>
      <c r="L301">
        <f t="shared" si="38"/>
        <v>1.4516471962616821</v>
      </c>
      <c r="M301">
        <f t="shared" si="36"/>
        <v>9.3429323308270682</v>
      </c>
      <c r="N301">
        <f t="shared" si="39"/>
        <v>2.4152214559140304</v>
      </c>
      <c r="O301">
        <f t="shared" si="40"/>
        <v>10551.41</v>
      </c>
      <c r="P301">
        <f t="shared" si="41"/>
        <v>-745566</v>
      </c>
      <c r="Q301">
        <f t="shared" si="42"/>
        <v>2025</v>
      </c>
      <c r="R301">
        <f t="shared" si="43"/>
        <v>3</v>
      </c>
      <c r="S301">
        <f t="shared" si="44"/>
        <v>15.537383177570094</v>
      </c>
    </row>
    <row r="302" spans="1:19" x14ac:dyDescent="0.3">
      <c r="A302" t="s">
        <v>310</v>
      </c>
      <c r="B302" s="2">
        <v>45789</v>
      </c>
      <c r="C302" t="s">
        <v>513</v>
      </c>
      <c r="D302" t="s">
        <v>517</v>
      </c>
      <c r="E302">
        <v>4455.2</v>
      </c>
      <c r="F302">
        <v>3599.62</v>
      </c>
      <c r="G302">
        <v>191906</v>
      </c>
      <c r="H302">
        <v>3380</v>
      </c>
      <c r="I302">
        <v>512</v>
      </c>
      <c r="J302">
        <v>13026.85</v>
      </c>
      <c r="K302">
        <f t="shared" si="37"/>
        <v>1.761278959490584</v>
      </c>
      <c r="L302">
        <f t="shared" si="38"/>
        <v>1.0649763313609466</v>
      </c>
      <c r="M302">
        <f t="shared" si="36"/>
        <v>7.0305078124999998</v>
      </c>
      <c r="N302">
        <f t="shared" si="39"/>
        <v>3.6189514448747371</v>
      </c>
      <c r="O302">
        <f t="shared" si="40"/>
        <v>9427.23</v>
      </c>
      <c r="P302">
        <f t="shared" si="41"/>
        <v>-359962.00000000006</v>
      </c>
      <c r="Q302">
        <f t="shared" si="42"/>
        <v>2025</v>
      </c>
      <c r="R302">
        <f t="shared" si="43"/>
        <v>5</v>
      </c>
      <c r="S302">
        <f t="shared" si="44"/>
        <v>15.147928994082841</v>
      </c>
    </row>
    <row r="303" spans="1:19" x14ac:dyDescent="0.3">
      <c r="A303" t="s">
        <v>311</v>
      </c>
      <c r="B303" s="2">
        <v>45739</v>
      </c>
      <c r="C303" t="s">
        <v>512</v>
      </c>
      <c r="D303" t="s">
        <v>517</v>
      </c>
      <c r="E303">
        <v>7081.29</v>
      </c>
      <c r="F303">
        <v>6560.3</v>
      </c>
      <c r="G303">
        <v>163874</v>
      </c>
      <c r="H303">
        <v>4357</v>
      </c>
      <c r="I303">
        <v>137</v>
      </c>
      <c r="J303">
        <v>6408.88</v>
      </c>
      <c r="K303">
        <f t="shared" si="37"/>
        <v>2.6587500152556229</v>
      </c>
      <c r="L303">
        <f t="shared" si="38"/>
        <v>1.5056919899013084</v>
      </c>
      <c r="M303">
        <f t="shared" si="36"/>
        <v>47.885401459854016</v>
      </c>
      <c r="N303">
        <f t="shared" si="39"/>
        <v>0.97691873847232591</v>
      </c>
      <c r="O303">
        <f t="shared" si="40"/>
        <v>-151.42000000000007</v>
      </c>
      <c r="P303">
        <f t="shared" si="41"/>
        <v>-656030</v>
      </c>
      <c r="Q303">
        <f t="shared" si="42"/>
        <v>2025</v>
      </c>
      <c r="R303">
        <f t="shared" si="43"/>
        <v>3</v>
      </c>
      <c r="S303">
        <f t="shared" si="44"/>
        <v>3.144365389029149</v>
      </c>
    </row>
    <row r="304" spans="1:19" x14ac:dyDescent="0.3">
      <c r="A304" t="s">
        <v>312</v>
      </c>
      <c r="B304" s="2">
        <v>45759</v>
      </c>
      <c r="C304" t="s">
        <v>510</v>
      </c>
      <c r="D304" t="s">
        <v>518</v>
      </c>
      <c r="E304">
        <v>8722.1</v>
      </c>
      <c r="F304">
        <v>7872.09</v>
      </c>
      <c r="G304">
        <v>173144</v>
      </c>
      <c r="H304">
        <v>7537</v>
      </c>
      <c r="I304">
        <v>1161</v>
      </c>
      <c r="J304">
        <v>32255.72</v>
      </c>
      <c r="K304">
        <f t="shared" si="37"/>
        <v>4.3530240724483669</v>
      </c>
      <c r="L304">
        <f t="shared" si="38"/>
        <v>1.044459333952501</v>
      </c>
      <c r="M304">
        <f t="shared" si="36"/>
        <v>6.7804392764857884</v>
      </c>
      <c r="N304">
        <f t="shared" si="39"/>
        <v>4.0974785603315</v>
      </c>
      <c r="O304">
        <f t="shared" si="40"/>
        <v>24383.63</v>
      </c>
      <c r="P304">
        <f t="shared" si="41"/>
        <v>-787209</v>
      </c>
      <c r="Q304">
        <f t="shared" si="42"/>
        <v>2025</v>
      </c>
      <c r="R304">
        <f t="shared" si="43"/>
        <v>4</v>
      </c>
      <c r="S304">
        <f t="shared" si="44"/>
        <v>15.404006899296801</v>
      </c>
    </row>
    <row r="305" spans="1:19" x14ac:dyDescent="0.3">
      <c r="A305" t="s">
        <v>313</v>
      </c>
      <c r="B305" s="2">
        <v>45675</v>
      </c>
      <c r="C305" t="s">
        <v>514</v>
      </c>
      <c r="D305" t="s">
        <v>515</v>
      </c>
      <c r="E305">
        <v>5657.85</v>
      </c>
      <c r="F305">
        <v>5528.22</v>
      </c>
      <c r="G305">
        <v>131078</v>
      </c>
      <c r="H305">
        <v>4550</v>
      </c>
      <c r="I305">
        <v>114</v>
      </c>
      <c r="J305">
        <v>3196.78</v>
      </c>
      <c r="K305">
        <f t="shared" si="37"/>
        <v>3.4712156120783044</v>
      </c>
      <c r="L305">
        <f t="shared" si="38"/>
        <v>1.2149934065934067</v>
      </c>
      <c r="M305">
        <f t="shared" si="36"/>
        <v>48.493157894736846</v>
      </c>
      <c r="N305">
        <f t="shared" si="39"/>
        <v>0.57826569854311149</v>
      </c>
      <c r="O305">
        <f t="shared" si="40"/>
        <v>-2331.44</v>
      </c>
      <c r="P305">
        <f t="shared" si="41"/>
        <v>-552822</v>
      </c>
      <c r="Q305">
        <f t="shared" si="42"/>
        <v>2025</v>
      </c>
      <c r="R305">
        <f t="shared" si="43"/>
        <v>1</v>
      </c>
      <c r="S305">
        <f t="shared" si="44"/>
        <v>2.5054945054945055</v>
      </c>
    </row>
    <row r="306" spans="1:19" x14ac:dyDescent="0.3">
      <c r="A306" t="s">
        <v>314</v>
      </c>
      <c r="B306" s="2">
        <v>45745</v>
      </c>
      <c r="C306" t="s">
        <v>511</v>
      </c>
      <c r="D306" t="s">
        <v>518</v>
      </c>
      <c r="E306">
        <v>7369.04</v>
      </c>
      <c r="F306">
        <v>6800.32</v>
      </c>
      <c r="G306">
        <v>171377</v>
      </c>
      <c r="H306">
        <v>4129</v>
      </c>
      <c r="I306">
        <v>453</v>
      </c>
      <c r="J306">
        <v>16562.32</v>
      </c>
      <c r="K306">
        <f t="shared" si="37"/>
        <v>2.4093081335301703</v>
      </c>
      <c r="L306">
        <f t="shared" si="38"/>
        <v>1.6469653669169291</v>
      </c>
      <c r="M306">
        <f t="shared" si="36"/>
        <v>15.011743929359822</v>
      </c>
      <c r="N306">
        <f t="shared" si="39"/>
        <v>2.4355206813796997</v>
      </c>
      <c r="O306">
        <f t="shared" si="40"/>
        <v>9762</v>
      </c>
      <c r="P306">
        <f t="shared" si="41"/>
        <v>-680032</v>
      </c>
      <c r="Q306">
        <f t="shared" si="42"/>
        <v>2025</v>
      </c>
      <c r="R306">
        <f t="shared" si="43"/>
        <v>3</v>
      </c>
      <c r="S306">
        <f t="shared" si="44"/>
        <v>10.971179462339549</v>
      </c>
    </row>
    <row r="307" spans="1:19" x14ac:dyDescent="0.3">
      <c r="A307" t="s">
        <v>315</v>
      </c>
      <c r="B307" s="2">
        <v>45769</v>
      </c>
      <c r="C307" t="s">
        <v>513</v>
      </c>
      <c r="D307" t="s">
        <v>516</v>
      </c>
      <c r="E307">
        <v>6052.89</v>
      </c>
      <c r="F307">
        <v>5377.02</v>
      </c>
      <c r="G307">
        <v>118229</v>
      </c>
      <c r="H307">
        <v>1135</v>
      </c>
      <c r="I307">
        <v>149</v>
      </c>
      <c r="J307">
        <v>7219.59</v>
      </c>
      <c r="K307">
        <f t="shared" si="37"/>
        <v>0.96000135330587244</v>
      </c>
      <c r="L307">
        <f t="shared" si="38"/>
        <v>4.73746255506608</v>
      </c>
      <c r="M307">
        <f t="shared" si="36"/>
        <v>36.087382550335576</v>
      </c>
      <c r="N307">
        <f t="shared" si="39"/>
        <v>1.3426749389066805</v>
      </c>
      <c r="O307">
        <f t="shared" si="40"/>
        <v>1842.5699999999997</v>
      </c>
      <c r="P307">
        <f t="shared" si="41"/>
        <v>-537702</v>
      </c>
      <c r="Q307">
        <f t="shared" si="42"/>
        <v>2025</v>
      </c>
      <c r="R307">
        <f t="shared" si="43"/>
        <v>4</v>
      </c>
      <c r="S307">
        <f t="shared" si="44"/>
        <v>13.127753303964756</v>
      </c>
    </row>
    <row r="308" spans="1:19" x14ac:dyDescent="0.3">
      <c r="A308" t="s">
        <v>316</v>
      </c>
      <c r="B308" s="2">
        <v>45756</v>
      </c>
      <c r="C308" t="s">
        <v>513</v>
      </c>
      <c r="D308" t="s">
        <v>515</v>
      </c>
      <c r="E308">
        <v>8345.24</v>
      </c>
      <c r="F308">
        <v>7026.98</v>
      </c>
      <c r="G308">
        <v>93966</v>
      </c>
      <c r="H308">
        <v>2601</v>
      </c>
      <c r="I308">
        <v>324</v>
      </c>
      <c r="J308">
        <v>14921.51</v>
      </c>
      <c r="K308">
        <f t="shared" si="37"/>
        <v>2.7680224762148011</v>
      </c>
      <c r="L308">
        <f t="shared" si="38"/>
        <v>2.7016455209534791</v>
      </c>
      <c r="M308">
        <f t="shared" si="36"/>
        <v>21.688209876543208</v>
      </c>
      <c r="N308">
        <f t="shared" si="39"/>
        <v>2.1234598646929408</v>
      </c>
      <c r="O308">
        <f t="shared" si="40"/>
        <v>7894.5300000000007</v>
      </c>
      <c r="P308">
        <f t="shared" si="41"/>
        <v>-702698</v>
      </c>
      <c r="Q308">
        <f t="shared" si="42"/>
        <v>2025</v>
      </c>
      <c r="R308">
        <f t="shared" si="43"/>
        <v>4</v>
      </c>
      <c r="S308">
        <f t="shared" si="44"/>
        <v>12.45674740484429</v>
      </c>
    </row>
    <row r="309" spans="1:19" x14ac:dyDescent="0.3">
      <c r="A309" t="s">
        <v>317</v>
      </c>
      <c r="B309" s="2">
        <v>45714</v>
      </c>
      <c r="C309" t="s">
        <v>513</v>
      </c>
      <c r="D309" t="s">
        <v>515</v>
      </c>
      <c r="E309">
        <v>6412.02</v>
      </c>
      <c r="F309">
        <v>6850.38</v>
      </c>
      <c r="G309">
        <v>180247</v>
      </c>
      <c r="H309">
        <v>6040</v>
      </c>
      <c r="I309">
        <v>1020</v>
      </c>
      <c r="J309">
        <v>44875.57</v>
      </c>
      <c r="K309">
        <f t="shared" si="37"/>
        <v>3.3509572974862274</v>
      </c>
      <c r="L309">
        <f t="shared" si="38"/>
        <v>1.1341688741721854</v>
      </c>
      <c r="M309">
        <f t="shared" si="36"/>
        <v>6.7160588235294121</v>
      </c>
      <c r="N309">
        <f t="shared" si="39"/>
        <v>6.5508146993305481</v>
      </c>
      <c r="O309">
        <f t="shared" si="40"/>
        <v>38025.19</v>
      </c>
      <c r="P309">
        <f t="shared" si="41"/>
        <v>-685037.99999999977</v>
      </c>
      <c r="Q309">
        <f t="shared" si="42"/>
        <v>2025</v>
      </c>
      <c r="R309">
        <f t="shared" si="43"/>
        <v>2</v>
      </c>
      <c r="S309">
        <f t="shared" si="44"/>
        <v>16.887417218543046</v>
      </c>
    </row>
    <row r="310" spans="1:19" x14ac:dyDescent="0.3">
      <c r="A310" t="s">
        <v>318</v>
      </c>
      <c r="B310" s="2">
        <v>45743</v>
      </c>
      <c r="C310" t="s">
        <v>510</v>
      </c>
      <c r="D310" t="s">
        <v>515</v>
      </c>
      <c r="E310">
        <v>5976.49</v>
      </c>
      <c r="F310">
        <v>4821.4799999999996</v>
      </c>
      <c r="G310">
        <v>80643</v>
      </c>
      <c r="H310">
        <v>2915</v>
      </c>
      <c r="I310">
        <v>337</v>
      </c>
      <c r="J310">
        <v>9456.33</v>
      </c>
      <c r="K310">
        <f t="shared" si="37"/>
        <v>3.6146968738762197</v>
      </c>
      <c r="L310">
        <f t="shared" si="38"/>
        <v>1.6540240137221267</v>
      </c>
      <c r="M310">
        <f t="shared" si="36"/>
        <v>14.307062314540058</v>
      </c>
      <c r="N310">
        <f t="shared" si="39"/>
        <v>1.9612919684412258</v>
      </c>
      <c r="O310">
        <f t="shared" si="40"/>
        <v>4634.8500000000004</v>
      </c>
      <c r="P310">
        <f t="shared" si="41"/>
        <v>-482147.99999999994</v>
      </c>
      <c r="Q310">
        <f t="shared" si="42"/>
        <v>2025</v>
      </c>
      <c r="R310">
        <f t="shared" si="43"/>
        <v>3</v>
      </c>
      <c r="S310">
        <f t="shared" si="44"/>
        <v>11.560891938250428</v>
      </c>
    </row>
    <row r="311" spans="1:19" x14ac:dyDescent="0.3">
      <c r="A311" t="s">
        <v>319</v>
      </c>
      <c r="B311" s="2">
        <v>45810</v>
      </c>
      <c r="C311" t="s">
        <v>513</v>
      </c>
      <c r="D311" t="s">
        <v>517</v>
      </c>
      <c r="E311">
        <v>6791.44</v>
      </c>
      <c r="F311">
        <v>6723.82</v>
      </c>
      <c r="G311">
        <v>175493</v>
      </c>
      <c r="H311">
        <v>7200</v>
      </c>
      <c r="I311">
        <v>476</v>
      </c>
      <c r="J311">
        <v>13202.64</v>
      </c>
      <c r="K311">
        <f t="shared" si="37"/>
        <v>4.102727744126546</v>
      </c>
      <c r="L311">
        <f t="shared" si="38"/>
        <v>0.93386388888888883</v>
      </c>
      <c r="M311">
        <f t="shared" si="36"/>
        <v>14.125672268907563</v>
      </c>
      <c r="N311">
        <f t="shared" si="39"/>
        <v>1.9635623797186719</v>
      </c>
      <c r="O311">
        <f t="shared" si="40"/>
        <v>6478.82</v>
      </c>
      <c r="P311">
        <f t="shared" si="41"/>
        <v>-672382</v>
      </c>
      <c r="Q311">
        <f t="shared" si="42"/>
        <v>2025</v>
      </c>
      <c r="R311">
        <f t="shared" si="43"/>
        <v>6</v>
      </c>
      <c r="S311">
        <f t="shared" si="44"/>
        <v>6.6111111111111107</v>
      </c>
    </row>
    <row r="312" spans="1:19" x14ac:dyDescent="0.3">
      <c r="A312" t="s">
        <v>320</v>
      </c>
      <c r="B312" s="2">
        <v>45790</v>
      </c>
      <c r="C312" t="s">
        <v>512</v>
      </c>
      <c r="D312" t="s">
        <v>517</v>
      </c>
      <c r="E312">
        <v>3975.49</v>
      </c>
      <c r="F312">
        <v>4176.17</v>
      </c>
      <c r="G312">
        <v>125145</v>
      </c>
      <c r="H312">
        <v>1135</v>
      </c>
      <c r="I312">
        <v>91</v>
      </c>
      <c r="J312">
        <v>4507.42</v>
      </c>
      <c r="K312">
        <f t="shared" si="37"/>
        <v>0.90694794038914861</v>
      </c>
      <c r="L312">
        <f t="shared" si="38"/>
        <v>3.6794449339207049</v>
      </c>
      <c r="M312">
        <f t="shared" si="36"/>
        <v>45.891978021978019</v>
      </c>
      <c r="N312">
        <f t="shared" si="39"/>
        <v>1.0793190890217592</v>
      </c>
      <c r="O312">
        <f t="shared" si="40"/>
        <v>331.25</v>
      </c>
      <c r="P312">
        <f t="shared" si="41"/>
        <v>-417617</v>
      </c>
      <c r="Q312">
        <f t="shared" si="42"/>
        <v>2025</v>
      </c>
      <c r="R312">
        <f t="shared" si="43"/>
        <v>5</v>
      </c>
      <c r="S312">
        <f t="shared" si="44"/>
        <v>8.0176211453744504</v>
      </c>
    </row>
    <row r="313" spans="1:19" x14ac:dyDescent="0.3">
      <c r="A313" t="s">
        <v>321</v>
      </c>
      <c r="B313" s="2">
        <v>45767</v>
      </c>
      <c r="C313" t="s">
        <v>514</v>
      </c>
      <c r="D313" t="s">
        <v>518</v>
      </c>
      <c r="E313">
        <v>6679.83</v>
      </c>
      <c r="F313">
        <v>5687.9</v>
      </c>
      <c r="G313">
        <v>197509</v>
      </c>
      <c r="H313">
        <v>8448</v>
      </c>
      <c r="I313">
        <v>669</v>
      </c>
      <c r="J313">
        <v>18845.21</v>
      </c>
      <c r="K313">
        <f t="shared" si="37"/>
        <v>4.2772734407039676</v>
      </c>
      <c r="L313">
        <f t="shared" si="38"/>
        <v>0.67328361742424236</v>
      </c>
      <c r="M313">
        <f t="shared" si="36"/>
        <v>8.5020926756352768</v>
      </c>
      <c r="N313">
        <f t="shared" si="39"/>
        <v>3.3132104994813552</v>
      </c>
      <c r="O313">
        <f t="shared" si="40"/>
        <v>13157.31</v>
      </c>
      <c r="P313">
        <f t="shared" si="41"/>
        <v>-568790</v>
      </c>
      <c r="Q313">
        <f t="shared" si="42"/>
        <v>2025</v>
      </c>
      <c r="R313">
        <f t="shared" si="43"/>
        <v>4</v>
      </c>
      <c r="S313">
        <f t="shared" si="44"/>
        <v>7.9190340909090908</v>
      </c>
    </row>
    <row r="314" spans="1:19" x14ac:dyDescent="0.3">
      <c r="A314" t="s">
        <v>322</v>
      </c>
      <c r="B314" s="2">
        <v>45769</v>
      </c>
      <c r="C314" t="s">
        <v>512</v>
      </c>
      <c r="D314" t="s">
        <v>517</v>
      </c>
      <c r="E314">
        <v>3128.73</v>
      </c>
      <c r="F314">
        <v>3361.16</v>
      </c>
      <c r="G314">
        <v>158254</v>
      </c>
      <c r="H314">
        <v>1254</v>
      </c>
      <c r="I314">
        <v>110</v>
      </c>
      <c r="J314">
        <v>2588.58</v>
      </c>
      <c r="K314">
        <f t="shared" si="37"/>
        <v>0.79239703261844885</v>
      </c>
      <c r="L314">
        <f t="shared" si="38"/>
        <v>2.6803508771929825</v>
      </c>
      <c r="M314">
        <f t="shared" si="36"/>
        <v>30.555999999999997</v>
      </c>
      <c r="N314">
        <f t="shared" si="39"/>
        <v>0.77014483095121922</v>
      </c>
      <c r="O314">
        <f t="shared" si="40"/>
        <v>-772.57999999999993</v>
      </c>
      <c r="P314">
        <f t="shared" si="41"/>
        <v>-336116</v>
      </c>
      <c r="Q314">
        <f t="shared" si="42"/>
        <v>2025</v>
      </c>
      <c r="R314">
        <f t="shared" si="43"/>
        <v>4</v>
      </c>
      <c r="S314">
        <f t="shared" si="44"/>
        <v>8.7719298245614024</v>
      </c>
    </row>
    <row r="315" spans="1:19" x14ac:dyDescent="0.3">
      <c r="A315" t="s">
        <v>323</v>
      </c>
      <c r="B315" s="2">
        <v>45685</v>
      </c>
      <c r="C315" t="s">
        <v>514</v>
      </c>
      <c r="D315" t="s">
        <v>517</v>
      </c>
      <c r="E315">
        <v>7035.62</v>
      </c>
      <c r="F315">
        <v>6206.94</v>
      </c>
      <c r="G315">
        <v>50360</v>
      </c>
      <c r="H315">
        <v>1689</v>
      </c>
      <c r="I315">
        <v>308</v>
      </c>
      <c r="J315">
        <v>11280.6</v>
      </c>
      <c r="K315">
        <f t="shared" si="37"/>
        <v>3.3538522637013504</v>
      </c>
      <c r="L315">
        <f t="shared" si="38"/>
        <v>3.674920071047957</v>
      </c>
      <c r="M315">
        <f t="shared" si="36"/>
        <v>20.152402597402595</v>
      </c>
      <c r="N315">
        <f t="shared" si="39"/>
        <v>1.8174172780790536</v>
      </c>
      <c r="O315">
        <f t="shared" si="40"/>
        <v>5073.6600000000008</v>
      </c>
      <c r="P315">
        <f t="shared" si="41"/>
        <v>-620694</v>
      </c>
      <c r="Q315">
        <f t="shared" si="42"/>
        <v>2025</v>
      </c>
      <c r="R315">
        <f t="shared" si="43"/>
        <v>1</v>
      </c>
      <c r="S315">
        <f t="shared" si="44"/>
        <v>18.235642391947898</v>
      </c>
    </row>
    <row r="316" spans="1:19" x14ac:dyDescent="0.3">
      <c r="A316" t="s">
        <v>324</v>
      </c>
      <c r="B316" s="2">
        <v>45783</v>
      </c>
      <c r="C316" t="s">
        <v>512</v>
      </c>
      <c r="D316" t="s">
        <v>515</v>
      </c>
      <c r="E316">
        <v>7559.94</v>
      </c>
      <c r="F316">
        <v>7929.79</v>
      </c>
      <c r="G316">
        <v>98472</v>
      </c>
      <c r="H316">
        <v>4803</v>
      </c>
      <c r="I316">
        <v>235</v>
      </c>
      <c r="J316">
        <v>6155.27</v>
      </c>
      <c r="K316">
        <f t="shared" si="37"/>
        <v>4.8775286375822571</v>
      </c>
      <c r="L316">
        <f t="shared" si="38"/>
        <v>1.6510077035186341</v>
      </c>
      <c r="M316">
        <f t="shared" si="36"/>
        <v>33.74378723404255</v>
      </c>
      <c r="N316">
        <f t="shared" si="39"/>
        <v>0.7762210600785141</v>
      </c>
      <c r="O316">
        <f t="shared" si="40"/>
        <v>-1774.5199999999995</v>
      </c>
      <c r="P316">
        <f t="shared" si="41"/>
        <v>-792979</v>
      </c>
      <c r="Q316">
        <f t="shared" si="42"/>
        <v>2025</v>
      </c>
      <c r="R316">
        <f t="shared" si="43"/>
        <v>5</v>
      </c>
      <c r="S316">
        <f t="shared" si="44"/>
        <v>4.8927753487403702</v>
      </c>
    </row>
    <row r="317" spans="1:19" x14ac:dyDescent="0.3">
      <c r="A317" t="s">
        <v>325</v>
      </c>
      <c r="B317" s="2">
        <v>45755</v>
      </c>
      <c r="C317" t="s">
        <v>511</v>
      </c>
      <c r="D317" t="s">
        <v>516</v>
      </c>
      <c r="E317">
        <v>3076.97</v>
      </c>
      <c r="F317">
        <v>2587.9299999999998</v>
      </c>
      <c r="G317">
        <v>154581</v>
      </c>
      <c r="H317">
        <v>6093</v>
      </c>
      <c r="I317">
        <v>236</v>
      </c>
      <c r="J317">
        <v>11092.13</v>
      </c>
      <c r="K317">
        <f t="shared" si="37"/>
        <v>3.9416228385118481</v>
      </c>
      <c r="L317">
        <f t="shared" si="38"/>
        <v>0.42473822419169538</v>
      </c>
      <c r="M317">
        <f t="shared" si="36"/>
        <v>10.965805084745762</v>
      </c>
      <c r="N317">
        <f t="shared" si="39"/>
        <v>4.286101246942537</v>
      </c>
      <c r="O317">
        <f t="shared" si="40"/>
        <v>8504.1999999999989</v>
      </c>
      <c r="P317">
        <f t="shared" si="41"/>
        <v>-258793.00000000003</v>
      </c>
      <c r="Q317">
        <f t="shared" si="42"/>
        <v>2025</v>
      </c>
      <c r="R317">
        <f t="shared" si="43"/>
        <v>4</v>
      </c>
      <c r="S317">
        <f t="shared" si="44"/>
        <v>3.8732972263252909</v>
      </c>
    </row>
    <row r="318" spans="1:19" x14ac:dyDescent="0.3">
      <c r="A318" t="s">
        <v>326</v>
      </c>
      <c r="B318" s="2">
        <v>45686</v>
      </c>
      <c r="C318" t="s">
        <v>513</v>
      </c>
      <c r="D318" t="s">
        <v>516</v>
      </c>
      <c r="E318">
        <v>9117.23</v>
      </c>
      <c r="F318">
        <v>8927.81</v>
      </c>
      <c r="G318">
        <v>68618</v>
      </c>
      <c r="H318">
        <v>3036</v>
      </c>
      <c r="I318">
        <v>196</v>
      </c>
      <c r="J318">
        <v>7451.04</v>
      </c>
      <c r="K318">
        <f t="shared" si="37"/>
        <v>4.4244950304584796</v>
      </c>
      <c r="L318">
        <f t="shared" si="38"/>
        <v>2.9406488801054018</v>
      </c>
      <c r="M318">
        <f t="shared" si="36"/>
        <v>45.550051020408162</v>
      </c>
      <c r="N318">
        <f t="shared" si="39"/>
        <v>0.83458765363510201</v>
      </c>
      <c r="O318">
        <f t="shared" si="40"/>
        <v>-1476.7699999999995</v>
      </c>
      <c r="P318">
        <f t="shared" si="41"/>
        <v>-892781</v>
      </c>
      <c r="Q318">
        <f t="shared" si="42"/>
        <v>2025</v>
      </c>
      <c r="R318">
        <f t="shared" si="43"/>
        <v>1</v>
      </c>
      <c r="S318">
        <f t="shared" si="44"/>
        <v>6.4558629776021084</v>
      </c>
    </row>
    <row r="319" spans="1:19" x14ac:dyDescent="0.3">
      <c r="A319" t="s">
        <v>327</v>
      </c>
      <c r="B319" s="2">
        <v>45663</v>
      </c>
      <c r="C319" t="s">
        <v>514</v>
      </c>
      <c r="D319" t="s">
        <v>516</v>
      </c>
      <c r="E319">
        <v>7655.26</v>
      </c>
      <c r="F319">
        <v>6526.96</v>
      </c>
      <c r="G319">
        <v>95395</v>
      </c>
      <c r="H319">
        <v>4443</v>
      </c>
      <c r="I319">
        <v>353</v>
      </c>
      <c r="J319">
        <v>16743.62</v>
      </c>
      <c r="K319">
        <f t="shared" si="37"/>
        <v>4.6574768069605321</v>
      </c>
      <c r="L319">
        <f t="shared" si="38"/>
        <v>1.4690434391177132</v>
      </c>
      <c r="M319">
        <f t="shared" si="36"/>
        <v>18.489971671388101</v>
      </c>
      <c r="N319">
        <f t="shared" si="39"/>
        <v>2.5653014573400172</v>
      </c>
      <c r="O319">
        <f t="shared" si="40"/>
        <v>10216.66</v>
      </c>
      <c r="P319">
        <f t="shared" si="41"/>
        <v>-652695.99999999988</v>
      </c>
      <c r="Q319">
        <f t="shared" si="42"/>
        <v>2025</v>
      </c>
      <c r="R319">
        <f t="shared" si="43"/>
        <v>1</v>
      </c>
      <c r="S319">
        <f t="shared" si="44"/>
        <v>7.9450821516993022</v>
      </c>
    </row>
    <row r="320" spans="1:19" x14ac:dyDescent="0.3">
      <c r="A320" t="s">
        <v>328</v>
      </c>
      <c r="B320" s="2">
        <v>45685</v>
      </c>
      <c r="C320" t="s">
        <v>513</v>
      </c>
      <c r="D320" t="s">
        <v>515</v>
      </c>
      <c r="E320">
        <v>5931.39</v>
      </c>
      <c r="F320">
        <v>5426.88</v>
      </c>
      <c r="G320">
        <v>87162</v>
      </c>
      <c r="H320">
        <v>1775</v>
      </c>
      <c r="I320">
        <v>84</v>
      </c>
      <c r="J320">
        <v>2987.67</v>
      </c>
      <c r="K320">
        <f t="shared" si="37"/>
        <v>2.0364378972488009</v>
      </c>
      <c r="L320">
        <f t="shared" si="38"/>
        <v>3.0573971830985918</v>
      </c>
      <c r="M320">
        <f t="shared" si="36"/>
        <v>64.605714285714285</v>
      </c>
      <c r="N320">
        <f t="shared" si="39"/>
        <v>0.55053179727578272</v>
      </c>
      <c r="O320">
        <f t="shared" si="40"/>
        <v>-2439.21</v>
      </c>
      <c r="P320">
        <f t="shared" si="41"/>
        <v>-542688</v>
      </c>
      <c r="Q320">
        <f t="shared" si="42"/>
        <v>2025</v>
      </c>
      <c r="R320">
        <f t="shared" si="43"/>
        <v>1</v>
      </c>
      <c r="S320">
        <f t="shared" si="44"/>
        <v>4.732394366197183</v>
      </c>
    </row>
    <row r="321" spans="1:19" x14ac:dyDescent="0.3">
      <c r="A321" t="s">
        <v>329</v>
      </c>
      <c r="B321" s="2">
        <v>45754</v>
      </c>
      <c r="C321" t="s">
        <v>514</v>
      </c>
      <c r="D321" t="s">
        <v>518</v>
      </c>
      <c r="E321">
        <v>3328.76</v>
      </c>
      <c r="F321">
        <v>2829.06</v>
      </c>
      <c r="G321">
        <v>54764</v>
      </c>
      <c r="H321">
        <v>1698</v>
      </c>
      <c r="I321">
        <v>278</v>
      </c>
      <c r="J321">
        <v>11715.2</v>
      </c>
      <c r="K321">
        <f t="shared" si="37"/>
        <v>3.1005770214009205</v>
      </c>
      <c r="L321">
        <f t="shared" si="38"/>
        <v>1.666113074204947</v>
      </c>
      <c r="M321">
        <f t="shared" si="36"/>
        <v>10.176474820143884</v>
      </c>
      <c r="N321">
        <f t="shared" si="39"/>
        <v>4.1410221062826524</v>
      </c>
      <c r="O321">
        <f t="shared" si="40"/>
        <v>8886.1400000000012</v>
      </c>
      <c r="P321">
        <f t="shared" si="41"/>
        <v>-282905.99999999994</v>
      </c>
      <c r="Q321">
        <f t="shared" si="42"/>
        <v>2025</v>
      </c>
      <c r="R321">
        <f t="shared" si="43"/>
        <v>4</v>
      </c>
      <c r="S321">
        <f t="shared" si="44"/>
        <v>16.372202591283862</v>
      </c>
    </row>
    <row r="322" spans="1:19" x14ac:dyDescent="0.3">
      <c r="A322" t="s">
        <v>330</v>
      </c>
      <c r="B322" s="2">
        <v>45800</v>
      </c>
      <c r="C322" t="s">
        <v>511</v>
      </c>
      <c r="D322" t="s">
        <v>518</v>
      </c>
      <c r="E322">
        <v>3579.59</v>
      </c>
      <c r="F322">
        <v>3511.38</v>
      </c>
      <c r="G322">
        <v>141976</v>
      </c>
      <c r="H322">
        <v>6294</v>
      </c>
      <c r="I322">
        <v>311</v>
      </c>
      <c r="J322">
        <v>8509.11</v>
      </c>
      <c r="K322">
        <f t="shared" si="37"/>
        <v>4.4331436299092797</v>
      </c>
      <c r="L322">
        <f t="shared" si="38"/>
        <v>0.55789323164918969</v>
      </c>
      <c r="M322">
        <f t="shared" ref="M322:M385" si="45">(F322/I322)</f>
        <v>11.290610932475884</v>
      </c>
      <c r="N322">
        <f t="shared" si="39"/>
        <v>2.423295114741213</v>
      </c>
      <c r="O322">
        <f t="shared" si="40"/>
        <v>4997.7300000000005</v>
      </c>
      <c r="P322">
        <f t="shared" si="41"/>
        <v>-351138</v>
      </c>
      <c r="Q322">
        <f t="shared" si="42"/>
        <v>2025</v>
      </c>
      <c r="R322">
        <f t="shared" si="43"/>
        <v>5</v>
      </c>
      <c r="S322">
        <f t="shared" si="44"/>
        <v>4.9412138544645687</v>
      </c>
    </row>
    <row r="323" spans="1:19" x14ac:dyDescent="0.3">
      <c r="A323" t="s">
        <v>331</v>
      </c>
      <c r="B323" s="2">
        <v>45757</v>
      </c>
      <c r="C323" t="s">
        <v>511</v>
      </c>
      <c r="D323" t="s">
        <v>517</v>
      </c>
      <c r="E323">
        <v>5725.07</v>
      </c>
      <c r="F323">
        <v>5075.8900000000003</v>
      </c>
      <c r="G323">
        <v>85169</v>
      </c>
      <c r="H323">
        <v>1524</v>
      </c>
      <c r="I323">
        <v>66</v>
      </c>
      <c r="J323">
        <v>2024.23</v>
      </c>
      <c r="K323">
        <f t="shared" ref="K323:K386" si="46">((H323/G323)*100)</f>
        <v>1.7893834611184822</v>
      </c>
      <c r="L323">
        <f t="shared" ref="L323:L386" si="47">(F323/H323)</f>
        <v>3.3306364829396329</v>
      </c>
      <c r="M323">
        <f t="shared" si="45"/>
        <v>76.907424242424241</v>
      </c>
      <c r="N323">
        <f t="shared" ref="N323:N386" si="48">(J323/F323)</f>
        <v>0.39879311805417372</v>
      </c>
      <c r="O323">
        <f t="shared" ref="O323:O386" si="49">(J323-F323)</f>
        <v>-3051.6600000000003</v>
      </c>
      <c r="P323">
        <f t="shared" ref="P323:P386" si="50">(O323-J323)*100</f>
        <v>-507589.00000000006</v>
      </c>
      <c r="Q323">
        <f t="shared" ref="Q323:Q386" si="51">YEAR(B323)</f>
        <v>2025</v>
      </c>
      <c r="R323">
        <f t="shared" ref="R323:R386" si="52">MONTH(B323)</f>
        <v>4</v>
      </c>
      <c r="S323">
        <f t="shared" ref="S323:S386" si="53">(I323/H323)*100</f>
        <v>4.3307086614173231</v>
      </c>
    </row>
    <row r="324" spans="1:19" x14ac:dyDescent="0.3">
      <c r="A324" t="s">
        <v>332</v>
      </c>
      <c r="B324" s="2">
        <v>45760</v>
      </c>
      <c r="C324" t="s">
        <v>514</v>
      </c>
      <c r="D324" t="s">
        <v>518</v>
      </c>
      <c r="E324">
        <v>8033.32</v>
      </c>
      <c r="F324">
        <v>7142.72</v>
      </c>
      <c r="G324">
        <v>75206</v>
      </c>
      <c r="H324">
        <v>1081</v>
      </c>
      <c r="I324">
        <v>182</v>
      </c>
      <c r="J324">
        <v>6732.57</v>
      </c>
      <c r="K324">
        <f t="shared" si="46"/>
        <v>1.4373853150014626</v>
      </c>
      <c r="L324">
        <f t="shared" si="47"/>
        <v>6.607511563367253</v>
      </c>
      <c r="M324">
        <f t="shared" si="45"/>
        <v>39.245714285714286</v>
      </c>
      <c r="N324">
        <f t="shared" si="48"/>
        <v>0.94257789749563181</v>
      </c>
      <c r="O324">
        <f t="shared" si="49"/>
        <v>-410.15000000000055</v>
      </c>
      <c r="P324">
        <f t="shared" si="50"/>
        <v>-714272</v>
      </c>
      <c r="Q324">
        <f t="shared" si="51"/>
        <v>2025</v>
      </c>
      <c r="R324">
        <f t="shared" si="52"/>
        <v>4</v>
      </c>
      <c r="S324">
        <f t="shared" si="53"/>
        <v>16.836262719703978</v>
      </c>
    </row>
    <row r="325" spans="1:19" x14ac:dyDescent="0.3">
      <c r="A325" t="s">
        <v>333</v>
      </c>
      <c r="B325" s="2">
        <v>45688</v>
      </c>
      <c r="C325" t="s">
        <v>511</v>
      </c>
      <c r="D325" t="s">
        <v>518</v>
      </c>
      <c r="E325">
        <v>6332.35</v>
      </c>
      <c r="F325">
        <v>6326.66</v>
      </c>
      <c r="G325">
        <v>185576</v>
      </c>
      <c r="H325">
        <v>8158</v>
      </c>
      <c r="I325">
        <v>162</v>
      </c>
      <c r="J325">
        <v>7792.99</v>
      </c>
      <c r="K325">
        <f t="shared" si="46"/>
        <v>4.3960425917144459</v>
      </c>
      <c r="L325">
        <f t="shared" si="47"/>
        <v>0.77551605785731792</v>
      </c>
      <c r="M325">
        <f t="shared" si="45"/>
        <v>39.053456790123455</v>
      </c>
      <c r="N325">
        <f t="shared" si="48"/>
        <v>1.2317700018651232</v>
      </c>
      <c r="O325">
        <f t="shared" si="49"/>
        <v>1466.33</v>
      </c>
      <c r="P325">
        <f t="shared" si="50"/>
        <v>-632666</v>
      </c>
      <c r="Q325">
        <f t="shared" si="51"/>
        <v>2025</v>
      </c>
      <c r="R325">
        <f t="shared" si="52"/>
        <v>1</v>
      </c>
      <c r="S325">
        <f t="shared" si="53"/>
        <v>1.9857808286344691</v>
      </c>
    </row>
    <row r="326" spans="1:19" x14ac:dyDescent="0.3">
      <c r="A326" t="s">
        <v>334</v>
      </c>
      <c r="B326" s="2">
        <v>45647</v>
      </c>
      <c r="C326" t="s">
        <v>511</v>
      </c>
      <c r="D326" t="s">
        <v>517</v>
      </c>
      <c r="E326">
        <v>8128</v>
      </c>
      <c r="F326">
        <v>7026.51</v>
      </c>
      <c r="G326">
        <v>156872</v>
      </c>
      <c r="H326">
        <v>6177</v>
      </c>
      <c r="I326">
        <v>381</v>
      </c>
      <c r="J326">
        <v>7976.42</v>
      </c>
      <c r="K326">
        <f t="shared" si="46"/>
        <v>3.9376051812943036</v>
      </c>
      <c r="L326">
        <f t="shared" si="47"/>
        <v>1.1375279261777562</v>
      </c>
      <c r="M326">
        <f t="shared" si="45"/>
        <v>18.44228346456693</v>
      </c>
      <c r="N326">
        <f t="shared" si="48"/>
        <v>1.1351894468235297</v>
      </c>
      <c r="O326">
        <f t="shared" si="49"/>
        <v>949.90999999999985</v>
      </c>
      <c r="P326">
        <f t="shared" si="50"/>
        <v>-702651</v>
      </c>
      <c r="Q326">
        <f t="shared" si="51"/>
        <v>2024</v>
      </c>
      <c r="R326">
        <f t="shared" si="52"/>
        <v>12</v>
      </c>
      <c r="S326">
        <f t="shared" si="53"/>
        <v>6.1680427391937833</v>
      </c>
    </row>
    <row r="327" spans="1:19" x14ac:dyDescent="0.3">
      <c r="A327" t="s">
        <v>335</v>
      </c>
      <c r="B327" s="2">
        <v>45747</v>
      </c>
      <c r="C327" t="s">
        <v>512</v>
      </c>
      <c r="D327" t="s">
        <v>516</v>
      </c>
      <c r="E327">
        <v>4835.8500000000004</v>
      </c>
      <c r="F327">
        <v>4731.99</v>
      </c>
      <c r="G327">
        <v>115212</v>
      </c>
      <c r="H327">
        <v>2331</v>
      </c>
      <c r="I327">
        <v>196</v>
      </c>
      <c r="J327">
        <v>4222.38</v>
      </c>
      <c r="K327">
        <f t="shared" si="46"/>
        <v>2.0232267472138319</v>
      </c>
      <c r="L327">
        <f t="shared" si="47"/>
        <v>2.03002574002574</v>
      </c>
      <c r="M327">
        <f t="shared" si="45"/>
        <v>24.142806122448977</v>
      </c>
      <c r="N327">
        <f t="shared" si="48"/>
        <v>0.89230535144833367</v>
      </c>
      <c r="O327">
        <f t="shared" si="49"/>
        <v>-509.60999999999967</v>
      </c>
      <c r="P327">
        <f t="shared" si="50"/>
        <v>-473199</v>
      </c>
      <c r="Q327">
        <f t="shared" si="51"/>
        <v>2025</v>
      </c>
      <c r="R327">
        <f t="shared" si="52"/>
        <v>3</v>
      </c>
      <c r="S327">
        <f t="shared" si="53"/>
        <v>8.408408408408409</v>
      </c>
    </row>
    <row r="328" spans="1:19" x14ac:dyDescent="0.3">
      <c r="A328" t="s">
        <v>336</v>
      </c>
      <c r="B328" s="2">
        <v>45711</v>
      </c>
      <c r="C328" t="s">
        <v>510</v>
      </c>
      <c r="D328" t="s">
        <v>518</v>
      </c>
      <c r="E328">
        <v>6474.56</v>
      </c>
      <c r="F328">
        <v>6338.94</v>
      </c>
      <c r="G328">
        <v>106540</v>
      </c>
      <c r="H328">
        <v>3157</v>
      </c>
      <c r="I328">
        <v>459</v>
      </c>
      <c r="J328">
        <v>13782.54</v>
      </c>
      <c r="K328">
        <f t="shared" si="46"/>
        <v>2.9632063074901445</v>
      </c>
      <c r="L328">
        <f t="shared" si="47"/>
        <v>2.0078999049730757</v>
      </c>
      <c r="M328">
        <f t="shared" si="45"/>
        <v>13.810326797385621</v>
      </c>
      <c r="N328">
        <f t="shared" si="48"/>
        <v>2.1742657289704592</v>
      </c>
      <c r="O328">
        <f t="shared" si="49"/>
        <v>7443.6000000000013</v>
      </c>
      <c r="P328">
        <f t="shared" si="50"/>
        <v>-633894</v>
      </c>
      <c r="Q328">
        <f t="shared" si="51"/>
        <v>2025</v>
      </c>
      <c r="R328">
        <f t="shared" si="52"/>
        <v>2</v>
      </c>
      <c r="S328">
        <f t="shared" si="53"/>
        <v>14.539119417168198</v>
      </c>
    </row>
    <row r="329" spans="1:19" x14ac:dyDescent="0.3">
      <c r="A329" t="s">
        <v>337</v>
      </c>
      <c r="B329" s="2">
        <v>45640</v>
      </c>
      <c r="C329" t="s">
        <v>511</v>
      </c>
      <c r="D329" t="s">
        <v>516</v>
      </c>
      <c r="E329">
        <v>8396.39</v>
      </c>
      <c r="F329">
        <v>6985.62</v>
      </c>
      <c r="G329">
        <v>110667</v>
      </c>
      <c r="H329">
        <v>2560</v>
      </c>
      <c r="I329">
        <v>409</v>
      </c>
      <c r="J329">
        <v>9101.94</v>
      </c>
      <c r="K329">
        <f t="shared" si="46"/>
        <v>2.3132460444396252</v>
      </c>
      <c r="L329">
        <f t="shared" si="47"/>
        <v>2.7287578125</v>
      </c>
      <c r="M329">
        <f t="shared" si="45"/>
        <v>17.079755501222493</v>
      </c>
      <c r="N329">
        <f t="shared" si="48"/>
        <v>1.3029537821982875</v>
      </c>
      <c r="O329">
        <f t="shared" si="49"/>
        <v>2116.3200000000006</v>
      </c>
      <c r="P329">
        <f t="shared" si="50"/>
        <v>-698562</v>
      </c>
      <c r="Q329">
        <f t="shared" si="51"/>
        <v>2024</v>
      </c>
      <c r="R329">
        <f t="shared" si="52"/>
        <v>12</v>
      </c>
      <c r="S329">
        <f t="shared" si="53"/>
        <v>15.9765625</v>
      </c>
    </row>
    <row r="330" spans="1:19" x14ac:dyDescent="0.3">
      <c r="A330" t="s">
        <v>338</v>
      </c>
      <c r="B330" s="2">
        <v>45798</v>
      </c>
      <c r="C330" t="s">
        <v>513</v>
      </c>
      <c r="D330" t="s">
        <v>517</v>
      </c>
      <c r="E330">
        <v>8097.32</v>
      </c>
      <c r="F330">
        <v>7681.5</v>
      </c>
      <c r="G330">
        <v>76558</v>
      </c>
      <c r="H330">
        <v>2247</v>
      </c>
      <c r="I330">
        <v>275</v>
      </c>
      <c r="J330">
        <v>11179.32</v>
      </c>
      <c r="K330">
        <f t="shared" si="46"/>
        <v>2.9350296507223281</v>
      </c>
      <c r="L330">
        <f t="shared" si="47"/>
        <v>3.418558077436582</v>
      </c>
      <c r="M330">
        <f t="shared" si="45"/>
        <v>27.932727272727274</v>
      </c>
      <c r="N330">
        <f t="shared" si="48"/>
        <v>1.4553563757078696</v>
      </c>
      <c r="O330">
        <f t="shared" si="49"/>
        <v>3497.8199999999997</v>
      </c>
      <c r="P330">
        <f t="shared" si="50"/>
        <v>-768150</v>
      </c>
      <c r="Q330">
        <f t="shared" si="51"/>
        <v>2025</v>
      </c>
      <c r="R330">
        <f t="shared" si="52"/>
        <v>5</v>
      </c>
      <c r="S330">
        <f t="shared" si="53"/>
        <v>12.238540275923453</v>
      </c>
    </row>
    <row r="331" spans="1:19" x14ac:dyDescent="0.3">
      <c r="A331" t="s">
        <v>339</v>
      </c>
      <c r="B331" s="2">
        <v>45647</v>
      </c>
      <c r="C331" t="s">
        <v>511</v>
      </c>
      <c r="D331" t="s">
        <v>518</v>
      </c>
      <c r="E331">
        <v>6043.79</v>
      </c>
      <c r="F331">
        <v>5281.79</v>
      </c>
      <c r="G331">
        <v>83532</v>
      </c>
      <c r="H331">
        <v>3585</v>
      </c>
      <c r="I331">
        <v>478</v>
      </c>
      <c r="J331">
        <v>21305.93</v>
      </c>
      <c r="K331">
        <f t="shared" si="46"/>
        <v>4.2917684240770004</v>
      </c>
      <c r="L331">
        <f t="shared" si="47"/>
        <v>1.4733026499302651</v>
      </c>
      <c r="M331">
        <f t="shared" si="45"/>
        <v>11.049769874476988</v>
      </c>
      <c r="N331">
        <f t="shared" si="48"/>
        <v>4.0338464800758835</v>
      </c>
      <c r="O331">
        <f t="shared" si="49"/>
        <v>16024.14</v>
      </c>
      <c r="P331">
        <f t="shared" si="50"/>
        <v>-528179.00000000012</v>
      </c>
      <c r="Q331">
        <f t="shared" si="51"/>
        <v>2024</v>
      </c>
      <c r="R331">
        <f t="shared" si="52"/>
        <v>12</v>
      </c>
      <c r="S331">
        <f t="shared" si="53"/>
        <v>13.333333333333334</v>
      </c>
    </row>
    <row r="332" spans="1:19" x14ac:dyDescent="0.3">
      <c r="A332" t="s">
        <v>340</v>
      </c>
      <c r="B332" s="2">
        <v>45695</v>
      </c>
      <c r="C332" t="s">
        <v>510</v>
      </c>
      <c r="D332" t="s">
        <v>516</v>
      </c>
      <c r="E332">
        <v>8595.91</v>
      </c>
      <c r="F332">
        <v>8668.19</v>
      </c>
      <c r="G332">
        <v>149998</v>
      </c>
      <c r="H332">
        <v>5998</v>
      </c>
      <c r="I332">
        <v>629</v>
      </c>
      <c r="J332">
        <v>17715.38</v>
      </c>
      <c r="K332">
        <f t="shared" si="46"/>
        <v>3.9987199829331055</v>
      </c>
      <c r="L332">
        <f t="shared" si="47"/>
        <v>1.4451800600200067</v>
      </c>
      <c r="M332">
        <f t="shared" si="45"/>
        <v>13.780906200317967</v>
      </c>
      <c r="N332">
        <f t="shared" si="48"/>
        <v>2.0437230840579175</v>
      </c>
      <c r="O332">
        <f t="shared" si="49"/>
        <v>9047.19</v>
      </c>
      <c r="P332">
        <f t="shared" si="50"/>
        <v>-866819</v>
      </c>
      <c r="Q332">
        <f t="shared" si="51"/>
        <v>2025</v>
      </c>
      <c r="R332">
        <f t="shared" si="52"/>
        <v>2</v>
      </c>
      <c r="S332">
        <f t="shared" si="53"/>
        <v>10.486828942980994</v>
      </c>
    </row>
    <row r="333" spans="1:19" x14ac:dyDescent="0.3">
      <c r="A333" t="s">
        <v>341</v>
      </c>
      <c r="B333" s="2">
        <v>45737</v>
      </c>
      <c r="C333" t="s">
        <v>511</v>
      </c>
      <c r="D333" t="s">
        <v>515</v>
      </c>
      <c r="E333">
        <v>7131.61</v>
      </c>
      <c r="F333">
        <v>6477.59</v>
      </c>
      <c r="G333">
        <v>171861</v>
      </c>
      <c r="H333">
        <v>2743</v>
      </c>
      <c r="I333">
        <v>78</v>
      </c>
      <c r="J333">
        <v>1774.3</v>
      </c>
      <c r="K333">
        <f t="shared" si="46"/>
        <v>1.5960572788474408</v>
      </c>
      <c r="L333">
        <f t="shared" si="47"/>
        <v>2.3614983594604446</v>
      </c>
      <c r="M333">
        <f t="shared" si="45"/>
        <v>83.046025641025636</v>
      </c>
      <c r="N333">
        <f t="shared" si="48"/>
        <v>0.27391360058293285</v>
      </c>
      <c r="O333">
        <f t="shared" si="49"/>
        <v>-4703.29</v>
      </c>
      <c r="P333">
        <f t="shared" si="50"/>
        <v>-647759</v>
      </c>
      <c r="Q333">
        <f t="shared" si="51"/>
        <v>2025</v>
      </c>
      <c r="R333">
        <f t="shared" si="52"/>
        <v>3</v>
      </c>
      <c r="S333">
        <f t="shared" si="53"/>
        <v>2.8436018957345972</v>
      </c>
    </row>
    <row r="334" spans="1:19" x14ac:dyDescent="0.3">
      <c r="A334" t="s">
        <v>342</v>
      </c>
      <c r="B334" s="2">
        <v>45725</v>
      </c>
      <c r="C334" t="s">
        <v>511</v>
      </c>
      <c r="D334" t="s">
        <v>516</v>
      </c>
      <c r="E334">
        <v>9421.2000000000007</v>
      </c>
      <c r="F334">
        <v>7923.66</v>
      </c>
      <c r="G334">
        <v>111608</v>
      </c>
      <c r="H334">
        <v>4858</v>
      </c>
      <c r="I334">
        <v>347</v>
      </c>
      <c r="J334">
        <v>16831.97</v>
      </c>
      <c r="K334">
        <f t="shared" si="46"/>
        <v>4.3527345709984946</v>
      </c>
      <c r="L334">
        <f t="shared" si="47"/>
        <v>1.631053931659119</v>
      </c>
      <c r="M334">
        <f t="shared" si="45"/>
        <v>22.834755043227666</v>
      </c>
      <c r="N334">
        <f t="shared" si="48"/>
        <v>2.1242670685011724</v>
      </c>
      <c r="O334">
        <f t="shared" si="49"/>
        <v>8908.3100000000013</v>
      </c>
      <c r="P334">
        <f t="shared" si="50"/>
        <v>-792366</v>
      </c>
      <c r="Q334">
        <f t="shared" si="51"/>
        <v>2025</v>
      </c>
      <c r="R334">
        <f t="shared" si="52"/>
        <v>3</v>
      </c>
      <c r="S334">
        <f t="shared" si="53"/>
        <v>7.1428571428571423</v>
      </c>
    </row>
    <row r="335" spans="1:19" x14ac:dyDescent="0.3">
      <c r="A335" t="s">
        <v>343</v>
      </c>
      <c r="B335" s="2">
        <v>45777</v>
      </c>
      <c r="C335" t="s">
        <v>511</v>
      </c>
      <c r="D335" t="s">
        <v>517</v>
      </c>
      <c r="E335">
        <v>6122.04</v>
      </c>
      <c r="F335">
        <v>5237.6499999999996</v>
      </c>
      <c r="G335">
        <v>115362</v>
      </c>
      <c r="H335">
        <v>2448</v>
      </c>
      <c r="I335">
        <v>149</v>
      </c>
      <c r="J335">
        <v>5402.3</v>
      </c>
      <c r="K335">
        <f t="shared" si="46"/>
        <v>2.1220159151193632</v>
      </c>
      <c r="L335">
        <f t="shared" si="47"/>
        <v>2.1395629084967318</v>
      </c>
      <c r="M335">
        <f t="shared" si="45"/>
        <v>35.15201342281879</v>
      </c>
      <c r="N335">
        <f t="shared" si="48"/>
        <v>1.0314358538657604</v>
      </c>
      <c r="O335">
        <f t="shared" si="49"/>
        <v>164.65000000000055</v>
      </c>
      <c r="P335">
        <f t="shared" si="50"/>
        <v>-523764.99999999994</v>
      </c>
      <c r="Q335">
        <f t="shared" si="51"/>
        <v>2025</v>
      </c>
      <c r="R335">
        <f t="shared" si="52"/>
        <v>4</v>
      </c>
      <c r="S335">
        <f t="shared" si="53"/>
        <v>6.0866013071895422</v>
      </c>
    </row>
    <row r="336" spans="1:19" x14ac:dyDescent="0.3">
      <c r="A336" t="s">
        <v>344</v>
      </c>
      <c r="B336" s="2">
        <v>45794</v>
      </c>
      <c r="C336" t="s">
        <v>511</v>
      </c>
      <c r="D336" t="s">
        <v>516</v>
      </c>
      <c r="E336">
        <v>9110.6200000000008</v>
      </c>
      <c r="F336">
        <v>9289.7999999999993</v>
      </c>
      <c r="G336">
        <v>166037</v>
      </c>
      <c r="H336">
        <v>1929</v>
      </c>
      <c r="I336">
        <v>275</v>
      </c>
      <c r="J336">
        <v>12154.13</v>
      </c>
      <c r="K336">
        <f t="shared" si="46"/>
        <v>1.1617892397477669</v>
      </c>
      <c r="L336">
        <f t="shared" si="47"/>
        <v>4.8158631415241056</v>
      </c>
      <c r="M336">
        <f t="shared" si="45"/>
        <v>33.781090909090906</v>
      </c>
      <c r="N336">
        <f t="shared" si="48"/>
        <v>1.3083306422097354</v>
      </c>
      <c r="O336">
        <f t="shared" si="49"/>
        <v>2864.33</v>
      </c>
      <c r="P336">
        <f t="shared" si="50"/>
        <v>-928979.99999999988</v>
      </c>
      <c r="Q336">
        <f t="shared" si="51"/>
        <v>2025</v>
      </c>
      <c r="R336">
        <f t="shared" si="52"/>
        <v>5</v>
      </c>
      <c r="S336">
        <f t="shared" si="53"/>
        <v>14.256091238983929</v>
      </c>
    </row>
    <row r="337" spans="1:19" x14ac:dyDescent="0.3">
      <c r="A337" t="s">
        <v>345</v>
      </c>
      <c r="B337" s="2">
        <v>45793</v>
      </c>
      <c r="C337" t="s">
        <v>510</v>
      </c>
      <c r="D337" t="s">
        <v>517</v>
      </c>
      <c r="E337">
        <v>7611.48</v>
      </c>
      <c r="F337">
        <v>7669.96</v>
      </c>
      <c r="G337">
        <v>116079</v>
      </c>
      <c r="H337">
        <v>3243</v>
      </c>
      <c r="I337">
        <v>205</v>
      </c>
      <c r="J337">
        <v>9322.5499999999993</v>
      </c>
      <c r="K337">
        <f t="shared" si="46"/>
        <v>2.7937869898948131</v>
      </c>
      <c r="L337">
        <f t="shared" si="47"/>
        <v>2.3650817144619181</v>
      </c>
      <c r="M337">
        <f t="shared" si="45"/>
        <v>37.414439024390241</v>
      </c>
      <c r="N337">
        <f t="shared" si="48"/>
        <v>1.2154626621260083</v>
      </c>
      <c r="O337">
        <f t="shared" si="49"/>
        <v>1652.5899999999992</v>
      </c>
      <c r="P337">
        <f t="shared" si="50"/>
        <v>-766996</v>
      </c>
      <c r="Q337">
        <f t="shared" si="51"/>
        <v>2025</v>
      </c>
      <c r="R337">
        <f t="shared" si="52"/>
        <v>5</v>
      </c>
      <c r="S337">
        <f t="shared" si="53"/>
        <v>6.3213074313906876</v>
      </c>
    </row>
    <row r="338" spans="1:19" x14ac:dyDescent="0.3">
      <c r="A338" t="s">
        <v>346</v>
      </c>
      <c r="B338" s="2">
        <v>45685</v>
      </c>
      <c r="C338" t="s">
        <v>510</v>
      </c>
      <c r="D338" t="s">
        <v>518</v>
      </c>
      <c r="E338">
        <v>4747.68</v>
      </c>
      <c r="F338">
        <v>4495.2299999999996</v>
      </c>
      <c r="G338">
        <v>67946</v>
      </c>
      <c r="H338">
        <v>1270</v>
      </c>
      <c r="I338">
        <v>110</v>
      </c>
      <c r="J338">
        <v>2929.99</v>
      </c>
      <c r="K338">
        <f t="shared" si="46"/>
        <v>1.869131369028346</v>
      </c>
      <c r="L338">
        <f t="shared" si="47"/>
        <v>3.5395511811023619</v>
      </c>
      <c r="M338">
        <f t="shared" si="45"/>
        <v>40.86572727272727</v>
      </c>
      <c r="N338">
        <f t="shared" si="48"/>
        <v>0.65179979667336263</v>
      </c>
      <c r="O338">
        <f t="shared" si="49"/>
        <v>-1565.2399999999998</v>
      </c>
      <c r="P338">
        <f t="shared" si="50"/>
        <v>-449522.99999999994</v>
      </c>
      <c r="Q338">
        <f t="shared" si="51"/>
        <v>2025</v>
      </c>
      <c r="R338">
        <f t="shared" si="52"/>
        <v>1</v>
      </c>
      <c r="S338">
        <f t="shared" si="53"/>
        <v>8.6614173228346463</v>
      </c>
    </row>
    <row r="339" spans="1:19" x14ac:dyDescent="0.3">
      <c r="A339" t="s">
        <v>347</v>
      </c>
      <c r="B339" s="2">
        <v>45637</v>
      </c>
      <c r="C339" t="s">
        <v>512</v>
      </c>
      <c r="D339" t="s">
        <v>515</v>
      </c>
      <c r="E339">
        <v>9913.68</v>
      </c>
      <c r="F339">
        <v>10738.67</v>
      </c>
      <c r="G339">
        <v>123947</v>
      </c>
      <c r="H339">
        <v>4068</v>
      </c>
      <c r="I339">
        <v>400</v>
      </c>
      <c r="J339">
        <v>8473.1200000000008</v>
      </c>
      <c r="K339">
        <f t="shared" si="46"/>
        <v>3.2820479721171143</v>
      </c>
      <c r="L339">
        <f t="shared" si="47"/>
        <v>2.6397910521140608</v>
      </c>
      <c r="M339">
        <f t="shared" si="45"/>
        <v>26.846675000000001</v>
      </c>
      <c r="N339">
        <f t="shared" si="48"/>
        <v>0.78902880896796357</v>
      </c>
      <c r="O339">
        <f t="shared" si="49"/>
        <v>-2265.5499999999993</v>
      </c>
      <c r="P339">
        <f t="shared" si="50"/>
        <v>-1073867</v>
      </c>
      <c r="Q339">
        <f t="shared" si="51"/>
        <v>2024</v>
      </c>
      <c r="R339">
        <f t="shared" si="52"/>
        <v>12</v>
      </c>
      <c r="S339">
        <f t="shared" si="53"/>
        <v>9.8328416912487704</v>
      </c>
    </row>
    <row r="340" spans="1:19" x14ac:dyDescent="0.3">
      <c r="A340" t="s">
        <v>348</v>
      </c>
      <c r="B340" s="2">
        <v>45788</v>
      </c>
      <c r="C340" t="s">
        <v>514</v>
      </c>
      <c r="D340" t="s">
        <v>515</v>
      </c>
      <c r="E340">
        <v>7939.03</v>
      </c>
      <c r="F340">
        <v>8554.9</v>
      </c>
      <c r="G340">
        <v>68639</v>
      </c>
      <c r="H340">
        <v>3348</v>
      </c>
      <c r="I340">
        <v>275</v>
      </c>
      <c r="J340">
        <v>6989.75</v>
      </c>
      <c r="K340">
        <f t="shared" si="46"/>
        <v>4.8776934395897378</v>
      </c>
      <c r="L340">
        <f t="shared" si="47"/>
        <v>2.5552270011947429</v>
      </c>
      <c r="M340">
        <f t="shared" si="45"/>
        <v>31.108727272727272</v>
      </c>
      <c r="N340">
        <f t="shared" si="48"/>
        <v>0.81704637108557676</v>
      </c>
      <c r="O340">
        <f t="shared" si="49"/>
        <v>-1565.1499999999996</v>
      </c>
      <c r="P340">
        <f t="shared" si="50"/>
        <v>-855490</v>
      </c>
      <c r="Q340">
        <f t="shared" si="51"/>
        <v>2025</v>
      </c>
      <c r="R340">
        <f t="shared" si="52"/>
        <v>5</v>
      </c>
      <c r="S340">
        <f t="shared" si="53"/>
        <v>8.2138590203106343</v>
      </c>
    </row>
    <row r="341" spans="1:19" x14ac:dyDescent="0.3">
      <c r="A341" t="s">
        <v>349</v>
      </c>
      <c r="B341" s="2">
        <v>45664</v>
      </c>
      <c r="C341" t="s">
        <v>513</v>
      </c>
      <c r="D341" t="s">
        <v>516</v>
      </c>
      <c r="E341">
        <v>6975.62</v>
      </c>
      <c r="F341">
        <v>7496.33</v>
      </c>
      <c r="G341">
        <v>158533</v>
      </c>
      <c r="H341">
        <v>6076</v>
      </c>
      <c r="I341">
        <v>478</v>
      </c>
      <c r="J341">
        <v>10046.790000000001</v>
      </c>
      <c r="K341">
        <f t="shared" si="46"/>
        <v>3.8326405227933615</v>
      </c>
      <c r="L341">
        <f t="shared" si="47"/>
        <v>1.2337606978275182</v>
      </c>
      <c r="M341">
        <f t="shared" si="45"/>
        <v>15.682698744769874</v>
      </c>
      <c r="N341">
        <f t="shared" si="48"/>
        <v>1.3402278181456795</v>
      </c>
      <c r="O341">
        <f t="shared" si="49"/>
        <v>2550.4600000000009</v>
      </c>
      <c r="P341">
        <f t="shared" si="50"/>
        <v>-749633</v>
      </c>
      <c r="Q341">
        <f t="shared" si="51"/>
        <v>2025</v>
      </c>
      <c r="R341">
        <f t="shared" si="52"/>
        <v>1</v>
      </c>
      <c r="S341">
        <f t="shared" si="53"/>
        <v>7.8670177748518766</v>
      </c>
    </row>
    <row r="342" spans="1:19" x14ac:dyDescent="0.3">
      <c r="A342" t="s">
        <v>350</v>
      </c>
      <c r="B342" s="2">
        <v>45763</v>
      </c>
      <c r="C342" t="s">
        <v>511</v>
      </c>
      <c r="D342" t="s">
        <v>515</v>
      </c>
      <c r="E342">
        <v>7881.94</v>
      </c>
      <c r="F342">
        <v>7008.66</v>
      </c>
      <c r="G342">
        <v>74923</v>
      </c>
      <c r="H342">
        <v>3598</v>
      </c>
      <c r="I342">
        <v>369</v>
      </c>
      <c r="J342">
        <v>17613.07</v>
      </c>
      <c r="K342">
        <f t="shared" si="46"/>
        <v>4.8022636573548843</v>
      </c>
      <c r="L342">
        <f t="shared" si="47"/>
        <v>1.9479321845469706</v>
      </c>
      <c r="M342">
        <f t="shared" si="45"/>
        <v>18.993658536585365</v>
      </c>
      <c r="N342">
        <f t="shared" si="48"/>
        <v>2.5130438628782108</v>
      </c>
      <c r="O342">
        <f t="shared" si="49"/>
        <v>10604.41</v>
      </c>
      <c r="P342">
        <f t="shared" si="50"/>
        <v>-700866</v>
      </c>
      <c r="Q342">
        <f t="shared" si="51"/>
        <v>2025</v>
      </c>
      <c r="R342">
        <f t="shared" si="52"/>
        <v>4</v>
      </c>
      <c r="S342">
        <f t="shared" si="53"/>
        <v>10.255697609783212</v>
      </c>
    </row>
    <row r="343" spans="1:19" x14ac:dyDescent="0.3">
      <c r="A343" t="s">
        <v>351</v>
      </c>
      <c r="B343" s="2">
        <v>45784</v>
      </c>
      <c r="C343" t="s">
        <v>513</v>
      </c>
      <c r="D343" t="s">
        <v>517</v>
      </c>
      <c r="E343">
        <v>9797.41</v>
      </c>
      <c r="F343">
        <v>10613.34</v>
      </c>
      <c r="G343">
        <v>196954</v>
      </c>
      <c r="H343">
        <v>4588</v>
      </c>
      <c r="I343">
        <v>657</v>
      </c>
      <c r="J343">
        <v>22486.76</v>
      </c>
      <c r="K343">
        <f t="shared" si="46"/>
        <v>2.3294779491657951</v>
      </c>
      <c r="L343">
        <f t="shared" si="47"/>
        <v>2.3132824760244115</v>
      </c>
      <c r="M343">
        <f t="shared" si="45"/>
        <v>16.154246575342466</v>
      </c>
      <c r="N343">
        <f t="shared" si="48"/>
        <v>2.1187260560765977</v>
      </c>
      <c r="O343">
        <f t="shared" si="49"/>
        <v>11873.419999999998</v>
      </c>
      <c r="P343">
        <f t="shared" si="50"/>
        <v>-1061334</v>
      </c>
      <c r="Q343">
        <f t="shared" si="51"/>
        <v>2025</v>
      </c>
      <c r="R343">
        <f t="shared" si="52"/>
        <v>5</v>
      </c>
      <c r="S343">
        <f t="shared" si="53"/>
        <v>14.31996512641674</v>
      </c>
    </row>
    <row r="344" spans="1:19" x14ac:dyDescent="0.3">
      <c r="A344" t="s">
        <v>352</v>
      </c>
      <c r="B344" s="2">
        <v>45735</v>
      </c>
      <c r="C344" t="s">
        <v>512</v>
      </c>
      <c r="D344" t="s">
        <v>516</v>
      </c>
      <c r="E344">
        <v>9034.2999999999993</v>
      </c>
      <c r="F344">
        <v>9516.41</v>
      </c>
      <c r="G344">
        <v>103912</v>
      </c>
      <c r="H344">
        <v>1528</v>
      </c>
      <c r="I344">
        <v>148</v>
      </c>
      <c r="J344">
        <v>4376.8100000000004</v>
      </c>
      <c r="K344">
        <f t="shared" si="46"/>
        <v>1.4704750173223498</v>
      </c>
      <c r="L344">
        <f t="shared" si="47"/>
        <v>6.228017015706806</v>
      </c>
      <c r="M344">
        <f t="shared" si="45"/>
        <v>64.300067567567567</v>
      </c>
      <c r="N344">
        <f t="shared" si="48"/>
        <v>0.45992238669834534</v>
      </c>
      <c r="O344">
        <f t="shared" si="49"/>
        <v>-5139.5999999999995</v>
      </c>
      <c r="P344">
        <f t="shared" si="50"/>
        <v>-951641</v>
      </c>
      <c r="Q344">
        <f t="shared" si="51"/>
        <v>2025</v>
      </c>
      <c r="R344">
        <f t="shared" si="52"/>
        <v>3</v>
      </c>
      <c r="S344">
        <f t="shared" si="53"/>
        <v>9.6858638743455501</v>
      </c>
    </row>
    <row r="345" spans="1:19" x14ac:dyDescent="0.3">
      <c r="A345" t="s">
        <v>353</v>
      </c>
      <c r="B345" s="2">
        <v>45656</v>
      </c>
      <c r="C345" t="s">
        <v>510</v>
      </c>
      <c r="D345" t="s">
        <v>517</v>
      </c>
      <c r="E345">
        <v>8802.41</v>
      </c>
      <c r="F345">
        <v>7139.65</v>
      </c>
      <c r="G345">
        <v>135367</v>
      </c>
      <c r="H345">
        <v>1109</v>
      </c>
      <c r="I345">
        <v>182</v>
      </c>
      <c r="J345">
        <v>6895.63</v>
      </c>
      <c r="K345">
        <f t="shared" si="46"/>
        <v>0.81925432343185556</v>
      </c>
      <c r="L345">
        <f t="shared" si="47"/>
        <v>6.4379170423805228</v>
      </c>
      <c r="M345">
        <f t="shared" si="45"/>
        <v>39.228846153846149</v>
      </c>
      <c r="N345">
        <f t="shared" si="48"/>
        <v>0.96582185401245169</v>
      </c>
      <c r="O345">
        <f t="shared" si="49"/>
        <v>-244.01999999999953</v>
      </c>
      <c r="P345">
        <f t="shared" si="50"/>
        <v>-713965</v>
      </c>
      <c r="Q345">
        <f t="shared" si="51"/>
        <v>2024</v>
      </c>
      <c r="R345">
        <f t="shared" si="52"/>
        <v>12</v>
      </c>
      <c r="S345">
        <f t="shared" si="53"/>
        <v>16.411181244364293</v>
      </c>
    </row>
    <row r="346" spans="1:19" x14ac:dyDescent="0.3">
      <c r="A346" t="s">
        <v>354</v>
      </c>
      <c r="B346" s="2">
        <v>45753</v>
      </c>
      <c r="C346" t="s">
        <v>512</v>
      </c>
      <c r="D346" t="s">
        <v>518</v>
      </c>
      <c r="E346">
        <v>4610.0600000000004</v>
      </c>
      <c r="F346">
        <v>3854.79</v>
      </c>
      <c r="G346">
        <v>154277</v>
      </c>
      <c r="H346">
        <v>3322</v>
      </c>
      <c r="I346">
        <v>278</v>
      </c>
      <c r="J346">
        <v>6201.79</v>
      </c>
      <c r="K346">
        <f t="shared" si="46"/>
        <v>2.1532697680146748</v>
      </c>
      <c r="L346">
        <f t="shared" si="47"/>
        <v>1.160382299819386</v>
      </c>
      <c r="M346">
        <f t="shared" si="45"/>
        <v>13.86615107913669</v>
      </c>
      <c r="N346">
        <f t="shared" si="48"/>
        <v>1.6088528817393424</v>
      </c>
      <c r="O346">
        <f t="shared" si="49"/>
        <v>2347</v>
      </c>
      <c r="P346">
        <f t="shared" si="50"/>
        <v>-385479</v>
      </c>
      <c r="Q346">
        <f t="shared" si="51"/>
        <v>2025</v>
      </c>
      <c r="R346">
        <f t="shared" si="52"/>
        <v>4</v>
      </c>
      <c r="S346">
        <f t="shared" si="53"/>
        <v>8.3684527393136676</v>
      </c>
    </row>
    <row r="347" spans="1:19" x14ac:dyDescent="0.3">
      <c r="A347" t="s">
        <v>355</v>
      </c>
      <c r="B347" s="2">
        <v>45707</v>
      </c>
      <c r="C347" t="s">
        <v>512</v>
      </c>
      <c r="D347" t="s">
        <v>518</v>
      </c>
      <c r="E347">
        <v>7874.02</v>
      </c>
      <c r="F347">
        <v>7102.07</v>
      </c>
      <c r="G347">
        <v>194871</v>
      </c>
      <c r="H347">
        <v>7907</v>
      </c>
      <c r="I347">
        <v>784</v>
      </c>
      <c r="J347">
        <v>32726.51</v>
      </c>
      <c r="K347">
        <f t="shared" si="46"/>
        <v>4.0575560242416779</v>
      </c>
      <c r="L347">
        <f t="shared" si="47"/>
        <v>0.89820032882256229</v>
      </c>
      <c r="M347">
        <f t="shared" si="45"/>
        <v>9.0587627551020411</v>
      </c>
      <c r="N347">
        <f t="shared" si="48"/>
        <v>4.6080241394410359</v>
      </c>
      <c r="O347">
        <f t="shared" si="49"/>
        <v>25624.44</v>
      </c>
      <c r="P347">
        <f t="shared" si="50"/>
        <v>-710207</v>
      </c>
      <c r="Q347">
        <f t="shared" si="51"/>
        <v>2025</v>
      </c>
      <c r="R347">
        <f t="shared" si="52"/>
        <v>2</v>
      </c>
      <c r="S347">
        <f t="shared" si="53"/>
        <v>9.9152649551030727</v>
      </c>
    </row>
    <row r="348" spans="1:19" x14ac:dyDescent="0.3">
      <c r="A348" t="s">
        <v>356</v>
      </c>
      <c r="B348" s="2">
        <v>45797</v>
      </c>
      <c r="C348" t="s">
        <v>511</v>
      </c>
      <c r="D348" t="s">
        <v>517</v>
      </c>
      <c r="E348">
        <v>3457.49</v>
      </c>
      <c r="F348">
        <v>3093.03</v>
      </c>
      <c r="G348">
        <v>57427</v>
      </c>
      <c r="H348">
        <v>1092</v>
      </c>
      <c r="I348">
        <v>199</v>
      </c>
      <c r="J348">
        <v>7200.76</v>
      </c>
      <c r="K348">
        <f t="shared" si="46"/>
        <v>1.9015445696275273</v>
      </c>
      <c r="L348">
        <f t="shared" si="47"/>
        <v>2.8324450549450551</v>
      </c>
      <c r="M348">
        <f t="shared" si="45"/>
        <v>15.542864321608041</v>
      </c>
      <c r="N348">
        <f t="shared" si="48"/>
        <v>2.3280601869364346</v>
      </c>
      <c r="O348">
        <f t="shared" si="49"/>
        <v>4107.7299999999996</v>
      </c>
      <c r="P348">
        <f t="shared" si="50"/>
        <v>-309303.00000000006</v>
      </c>
      <c r="Q348">
        <f t="shared" si="51"/>
        <v>2025</v>
      </c>
      <c r="R348">
        <f t="shared" si="52"/>
        <v>5</v>
      </c>
      <c r="S348">
        <f t="shared" si="53"/>
        <v>18.223443223443223</v>
      </c>
    </row>
    <row r="349" spans="1:19" x14ac:dyDescent="0.3">
      <c r="A349" t="s">
        <v>357</v>
      </c>
      <c r="B349" s="2">
        <v>45653</v>
      </c>
      <c r="C349" t="s">
        <v>510</v>
      </c>
      <c r="D349" t="s">
        <v>518</v>
      </c>
      <c r="E349">
        <v>8535.06</v>
      </c>
      <c r="F349">
        <v>7644.22</v>
      </c>
      <c r="G349">
        <v>192331</v>
      </c>
      <c r="H349">
        <v>2108</v>
      </c>
      <c r="I349">
        <v>210</v>
      </c>
      <c r="J349">
        <v>8143.12</v>
      </c>
      <c r="K349">
        <f t="shared" si="46"/>
        <v>1.0960271615080253</v>
      </c>
      <c r="L349">
        <f t="shared" si="47"/>
        <v>3.6262903225806453</v>
      </c>
      <c r="M349">
        <f t="shared" si="45"/>
        <v>36.401047619047617</v>
      </c>
      <c r="N349">
        <f t="shared" si="48"/>
        <v>1.0652649976060342</v>
      </c>
      <c r="O349">
        <f t="shared" si="49"/>
        <v>498.89999999999964</v>
      </c>
      <c r="P349">
        <f t="shared" si="50"/>
        <v>-764422</v>
      </c>
      <c r="Q349">
        <f t="shared" si="51"/>
        <v>2024</v>
      </c>
      <c r="R349">
        <f t="shared" si="52"/>
        <v>12</v>
      </c>
      <c r="S349">
        <f t="shared" si="53"/>
        <v>9.9620493358633784</v>
      </c>
    </row>
    <row r="350" spans="1:19" x14ac:dyDescent="0.3">
      <c r="A350" t="s">
        <v>358</v>
      </c>
      <c r="B350" s="2">
        <v>45807</v>
      </c>
      <c r="C350" t="s">
        <v>511</v>
      </c>
      <c r="D350" t="s">
        <v>515</v>
      </c>
      <c r="E350">
        <v>9201.84</v>
      </c>
      <c r="F350">
        <v>9061.59</v>
      </c>
      <c r="G350">
        <v>66208</v>
      </c>
      <c r="H350">
        <v>2170</v>
      </c>
      <c r="I350">
        <v>345</v>
      </c>
      <c r="J350">
        <v>9311.1299999999992</v>
      </c>
      <c r="K350">
        <f t="shared" si="46"/>
        <v>3.2775495408409863</v>
      </c>
      <c r="L350">
        <f t="shared" si="47"/>
        <v>4.1758479262672807</v>
      </c>
      <c r="M350">
        <f t="shared" si="45"/>
        <v>26.265478260869564</v>
      </c>
      <c r="N350">
        <f t="shared" si="48"/>
        <v>1.0275382134923341</v>
      </c>
      <c r="O350">
        <f t="shared" si="49"/>
        <v>249.53999999999905</v>
      </c>
      <c r="P350">
        <f t="shared" si="50"/>
        <v>-906159</v>
      </c>
      <c r="Q350">
        <f t="shared" si="51"/>
        <v>2025</v>
      </c>
      <c r="R350">
        <f t="shared" si="52"/>
        <v>5</v>
      </c>
      <c r="S350">
        <f t="shared" si="53"/>
        <v>15.898617511520738</v>
      </c>
    </row>
    <row r="351" spans="1:19" x14ac:dyDescent="0.3">
      <c r="A351" t="s">
        <v>359</v>
      </c>
      <c r="B351" s="2">
        <v>45726</v>
      </c>
      <c r="C351" t="s">
        <v>514</v>
      </c>
      <c r="D351" t="s">
        <v>518</v>
      </c>
      <c r="E351">
        <v>3170.81</v>
      </c>
      <c r="F351">
        <v>3364.32</v>
      </c>
      <c r="G351">
        <v>132053</v>
      </c>
      <c r="H351">
        <v>4867</v>
      </c>
      <c r="I351">
        <v>162</v>
      </c>
      <c r="J351">
        <v>3343.37</v>
      </c>
      <c r="K351">
        <f t="shared" si="46"/>
        <v>3.6856413712675971</v>
      </c>
      <c r="L351">
        <f t="shared" si="47"/>
        <v>0.69125128415861936</v>
      </c>
      <c r="M351">
        <f t="shared" si="45"/>
        <v>20.767407407407408</v>
      </c>
      <c r="N351">
        <f t="shared" si="48"/>
        <v>0.99377288724021484</v>
      </c>
      <c r="O351">
        <f t="shared" si="49"/>
        <v>-20.950000000000273</v>
      </c>
      <c r="P351">
        <f t="shared" si="50"/>
        <v>-336432</v>
      </c>
      <c r="Q351">
        <f t="shared" si="51"/>
        <v>2025</v>
      </c>
      <c r="R351">
        <f t="shared" si="52"/>
        <v>3</v>
      </c>
      <c r="S351">
        <f t="shared" si="53"/>
        <v>3.3285391411547156</v>
      </c>
    </row>
    <row r="352" spans="1:19" x14ac:dyDescent="0.3">
      <c r="A352" t="s">
        <v>360</v>
      </c>
      <c r="B352" s="2">
        <v>45745</v>
      </c>
      <c r="C352" t="s">
        <v>514</v>
      </c>
      <c r="D352" t="s">
        <v>515</v>
      </c>
      <c r="E352">
        <v>9122.91</v>
      </c>
      <c r="F352">
        <v>8745.9599999999991</v>
      </c>
      <c r="G352">
        <v>195707</v>
      </c>
      <c r="H352">
        <v>8454</v>
      </c>
      <c r="I352">
        <v>371</v>
      </c>
      <c r="J352">
        <v>17871.82</v>
      </c>
      <c r="K352">
        <f t="shared" si="46"/>
        <v>4.3197228509966425</v>
      </c>
      <c r="L352">
        <f t="shared" si="47"/>
        <v>1.0345351312987934</v>
      </c>
      <c r="M352">
        <f t="shared" si="45"/>
        <v>23.574016172506735</v>
      </c>
      <c r="N352">
        <f t="shared" si="48"/>
        <v>2.0434371984321906</v>
      </c>
      <c r="O352">
        <f t="shared" si="49"/>
        <v>9125.86</v>
      </c>
      <c r="P352">
        <f t="shared" si="50"/>
        <v>-874595.99999999988</v>
      </c>
      <c r="Q352">
        <f t="shared" si="51"/>
        <v>2025</v>
      </c>
      <c r="R352">
        <f t="shared" si="52"/>
        <v>3</v>
      </c>
      <c r="S352">
        <f t="shared" si="53"/>
        <v>4.3884551691506974</v>
      </c>
    </row>
    <row r="353" spans="1:19" x14ac:dyDescent="0.3">
      <c r="A353" t="s">
        <v>361</v>
      </c>
      <c r="B353" s="2">
        <v>45776</v>
      </c>
      <c r="C353" t="s">
        <v>510</v>
      </c>
      <c r="D353" t="s">
        <v>518</v>
      </c>
      <c r="E353">
        <v>8591.48</v>
      </c>
      <c r="F353">
        <v>9445.2999999999993</v>
      </c>
      <c r="G353">
        <v>106946</v>
      </c>
      <c r="H353">
        <v>4278</v>
      </c>
      <c r="I353">
        <v>149</v>
      </c>
      <c r="J353">
        <v>4547.68</v>
      </c>
      <c r="K353">
        <f t="shared" si="46"/>
        <v>4.0001496082134906</v>
      </c>
      <c r="L353">
        <f t="shared" si="47"/>
        <v>2.2078775128564749</v>
      </c>
      <c r="M353">
        <f t="shared" si="45"/>
        <v>63.391275167785231</v>
      </c>
      <c r="N353">
        <f t="shared" si="48"/>
        <v>0.48147544281282761</v>
      </c>
      <c r="O353">
        <f t="shared" si="49"/>
        <v>-4897.619999999999</v>
      </c>
      <c r="P353">
        <f t="shared" si="50"/>
        <v>-944529.99999999988</v>
      </c>
      <c r="Q353">
        <f t="shared" si="51"/>
        <v>2025</v>
      </c>
      <c r="R353">
        <f t="shared" si="52"/>
        <v>4</v>
      </c>
      <c r="S353">
        <f t="shared" si="53"/>
        <v>3.4829359513791491</v>
      </c>
    </row>
    <row r="354" spans="1:19" x14ac:dyDescent="0.3">
      <c r="A354" t="s">
        <v>362</v>
      </c>
      <c r="B354" s="2">
        <v>45663</v>
      </c>
      <c r="C354" t="s">
        <v>510</v>
      </c>
      <c r="D354" t="s">
        <v>517</v>
      </c>
      <c r="E354">
        <v>8370.32</v>
      </c>
      <c r="F354">
        <v>7705.54</v>
      </c>
      <c r="G354">
        <v>170434</v>
      </c>
      <c r="H354">
        <v>6373</v>
      </c>
      <c r="I354">
        <v>533</v>
      </c>
      <c r="J354">
        <v>18333.21</v>
      </c>
      <c r="K354">
        <f t="shared" si="46"/>
        <v>3.7392773742328411</v>
      </c>
      <c r="L354">
        <f t="shared" si="47"/>
        <v>1.2090914796798995</v>
      </c>
      <c r="M354">
        <f t="shared" si="45"/>
        <v>14.456923076923077</v>
      </c>
      <c r="N354">
        <f t="shared" si="48"/>
        <v>2.3792245579154736</v>
      </c>
      <c r="O354">
        <f t="shared" si="49"/>
        <v>10627.669999999998</v>
      </c>
      <c r="P354">
        <f t="shared" si="50"/>
        <v>-770554.00000000012</v>
      </c>
      <c r="Q354">
        <f t="shared" si="51"/>
        <v>2025</v>
      </c>
      <c r="R354">
        <f t="shared" si="52"/>
        <v>1</v>
      </c>
      <c r="S354">
        <f t="shared" si="53"/>
        <v>8.3634081280401702</v>
      </c>
    </row>
    <row r="355" spans="1:19" x14ac:dyDescent="0.3">
      <c r="A355" t="s">
        <v>363</v>
      </c>
      <c r="B355" s="2">
        <v>45642</v>
      </c>
      <c r="C355" t="s">
        <v>510</v>
      </c>
      <c r="D355" t="s">
        <v>518</v>
      </c>
      <c r="E355">
        <v>7392.54</v>
      </c>
      <c r="F355">
        <v>7851.64</v>
      </c>
      <c r="G355">
        <v>61724</v>
      </c>
      <c r="H355">
        <v>1074</v>
      </c>
      <c r="I355">
        <v>134</v>
      </c>
      <c r="J355">
        <v>6636.02</v>
      </c>
      <c r="K355">
        <f t="shared" si="46"/>
        <v>1.7400038882768452</v>
      </c>
      <c r="L355">
        <f t="shared" si="47"/>
        <v>7.3106517690875235</v>
      </c>
      <c r="M355">
        <f t="shared" si="45"/>
        <v>58.594328358208955</v>
      </c>
      <c r="N355">
        <f t="shared" si="48"/>
        <v>0.84517629437926345</v>
      </c>
      <c r="O355">
        <f t="shared" si="49"/>
        <v>-1215.6199999999999</v>
      </c>
      <c r="P355">
        <f t="shared" si="50"/>
        <v>-785164</v>
      </c>
      <c r="Q355">
        <f t="shared" si="51"/>
        <v>2024</v>
      </c>
      <c r="R355">
        <f t="shared" si="52"/>
        <v>12</v>
      </c>
      <c r="S355">
        <f t="shared" si="53"/>
        <v>12.476722532588454</v>
      </c>
    </row>
    <row r="356" spans="1:19" x14ac:dyDescent="0.3">
      <c r="A356" t="s">
        <v>364</v>
      </c>
      <c r="B356" s="2">
        <v>45767</v>
      </c>
      <c r="C356" t="s">
        <v>514</v>
      </c>
      <c r="D356" t="s">
        <v>518</v>
      </c>
      <c r="E356">
        <v>8377.91</v>
      </c>
      <c r="F356">
        <v>7752.33</v>
      </c>
      <c r="G356">
        <v>194762</v>
      </c>
      <c r="H356">
        <v>1009</v>
      </c>
      <c r="I356">
        <v>129</v>
      </c>
      <c r="J356">
        <v>4210.6499999999996</v>
      </c>
      <c r="K356">
        <f t="shared" si="46"/>
        <v>0.5180682063236155</v>
      </c>
      <c r="L356">
        <f t="shared" si="47"/>
        <v>7.683181367690783</v>
      </c>
      <c r="M356">
        <f t="shared" si="45"/>
        <v>60.095581395348837</v>
      </c>
      <c r="N356">
        <f t="shared" si="48"/>
        <v>0.54314638308740726</v>
      </c>
      <c r="O356">
        <f t="shared" si="49"/>
        <v>-3541.6800000000003</v>
      </c>
      <c r="P356">
        <f t="shared" si="50"/>
        <v>-775233</v>
      </c>
      <c r="Q356">
        <f t="shared" si="51"/>
        <v>2025</v>
      </c>
      <c r="R356">
        <f t="shared" si="52"/>
        <v>4</v>
      </c>
      <c r="S356">
        <f t="shared" si="53"/>
        <v>12.784935579781962</v>
      </c>
    </row>
    <row r="357" spans="1:19" x14ac:dyDescent="0.3">
      <c r="A357" t="s">
        <v>365</v>
      </c>
      <c r="B357" s="2">
        <v>45685</v>
      </c>
      <c r="C357" t="s">
        <v>512</v>
      </c>
      <c r="D357" t="s">
        <v>517</v>
      </c>
      <c r="E357">
        <v>8163.08</v>
      </c>
      <c r="F357">
        <v>7115.21</v>
      </c>
      <c r="G357">
        <v>188259</v>
      </c>
      <c r="H357">
        <v>3527</v>
      </c>
      <c r="I357">
        <v>426</v>
      </c>
      <c r="J357">
        <v>9931.86</v>
      </c>
      <c r="K357">
        <f t="shared" si="46"/>
        <v>1.8734828082588348</v>
      </c>
      <c r="L357">
        <f t="shared" si="47"/>
        <v>2.0173546923731216</v>
      </c>
      <c r="M357">
        <f t="shared" si="45"/>
        <v>16.702370892018781</v>
      </c>
      <c r="N357">
        <f t="shared" si="48"/>
        <v>1.3958632282111141</v>
      </c>
      <c r="O357">
        <f t="shared" si="49"/>
        <v>2816.6500000000005</v>
      </c>
      <c r="P357">
        <f t="shared" si="50"/>
        <v>-711521</v>
      </c>
      <c r="Q357">
        <f t="shared" si="51"/>
        <v>2025</v>
      </c>
      <c r="R357">
        <f t="shared" si="52"/>
        <v>1</v>
      </c>
      <c r="S357">
        <f t="shared" si="53"/>
        <v>12.078253473206692</v>
      </c>
    </row>
    <row r="358" spans="1:19" x14ac:dyDescent="0.3">
      <c r="A358" t="s">
        <v>366</v>
      </c>
      <c r="B358" s="2">
        <v>45818</v>
      </c>
      <c r="C358" t="s">
        <v>510</v>
      </c>
      <c r="D358" t="s">
        <v>515</v>
      </c>
      <c r="E358">
        <v>5482.36</v>
      </c>
      <c r="F358">
        <v>4858.3100000000004</v>
      </c>
      <c r="G358">
        <v>99224</v>
      </c>
      <c r="H358">
        <v>3662</v>
      </c>
      <c r="I358">
        <v>233</v>
      </c>
      <c r="J358">
        <v>6731.19</v>
      </c>
      <c r="K358">
        <f t="shared" si="46"/>
        <v>3.6906393614448119</v>
      </c>
      <c r="L358">
        <f t="shared" si="47"/>
        <v>1.3266821409066085</v>
      </c>
      <c r="M358">
        <f t="shared" si="45"/>
        <v>20.851115879828328</v>
      </c>
      <c r="N358">
        <f t="shared" si="48"/>
        <v>1.3855003077201742</v>
      </c>
      <c r="O358">
        <f t="shared" si="49"/>
        <v>1872.8799999999992</v>
      </c>
      <c r="P358">
        <f t="shared" si="50"/>
        <v>-485831.00000000006</v>
      </c>
      <c r="Q358">
        <f t="shared" si="51"/>
        <v>2025</v>
      </c>
      <c r="R358">
        <f t="shared" si="52"/>
        <v>6</v>
      </c>
      <c r="S358">
        <f t="shared" si="53"/>
        <v>6.362643364281813</v>
      </c>
    </row>
    <row r="359" spans="1:19" x14ac:dyDescent="0.3">
      <c r="A359" t="s">
        <v>367</v>
      </c>
      <c r="B359" s="2">
        <v>45730</v>
      </c>
      <c r="C359" t="s">
        <v>513</v>
      </c>
      <c r="D359" t="s">
        <v>515</v>
      </c>
      <c r="E359">
        <v>4635.25</v>
      </c>
      <c r="F359">
        <v>3766.73</v>
      </c>
      <c r="G359">
        <v>83109</v>
      </c>
      <c r="H359">
        <v>3984</v>
      </c>
      <c r="I359">
        <v>764</v>
      </c>
      <c r="J359">
        <v>15689.67</v>
      </c>
      <c r="K359">
        <f t="shared" si="46"/>
        <v>4.7937046529256762</v>
      </c>
      <c r="L359">
        <f t="shared" si="47"/>
        <v>0.9454643574297189</v>
      </c>
      <c r="M359">
        <f t="shared" si="45"/>
        <v>4.9302748691099474</v>
      </c>
      <c r="N359">
        <f t="shared" si="48"/>
        <v>4.1653290785376171</v>
      </c>
      <c r="O359">
        <f t="shared" si="49"/>
        <v>11922.94</v>
      </c>
      <c r="P359">
        <f t="shared" si="50"/>
        <v>-376672.99999999994</v>
      </c>
      <c r="Q359">
        <f t="shared" si="51"/>
        <v>2025</v>
      </c>
      <c r="R359">
        <f t="shared" si="52"/>
        <v>3</v>
      </c>
      <c r="S359">
        <f t="shared" si="53"/>
        <v>19.176706827309236</v>
      </c>
    </row>
    <row r="360" spans="1:19" x14ac:dyDescent="0.3">
      <c r="A360" t="s">
        <v>368</v>
      </c>
      <c r="B360" s="2">
        <v>45712</v>
      </c>
      <c r="C360" t="s">
        <v>510</v>
      </c>
      <c r="D360" t="s">
        <v>515</v>
      </c>
      <c r="E360">
        <v>9914.06</v>
      </c>
      <c r="F360">
        <v>9203.5400000000009</v>
      </c>
      <c r="G360">
        <v>111688</v>
      </c>
      <c r="H360">
        <v>2013</v>
      </c>
      <c r="I360">
        <v>234</v>
      </c>
      <c r="J360">
        <v>7377.97</v>
      </c>
      <c r="K360">
        <f t="shared" si="46"/>
        <v>1.8023422390946207</v>
      </c>
      <c r="L360">
        <f t="shared" si="47"/>
        <v>4.5720516641828119</v>
      </c>
      <c r="M360">
        <f t="shared" si="45"/>
        <v>39.331367521367525</v>
      </c>
      <c r="N360">
        <f t="shared" si="48"/>
        <v>0.80164480189144605</v>
      </c>
      <c r="O360">
        <f t="shared" si="49"/>
        <v>-1825.5700000000006</v>
      </c>
      <c r="P360">
        <f t="shared" si="50"/>
        <v>-920354.00000000012</v>
      </c>
      <c r="Q360">
        <f t="shared" si="51"/>
        <v>2025</v>
      </c>
      <c r="R360">
        <f t="shared" si="52"/>
        <v>2</v>
      </c>
      <c r="S360">
        <f t="shared" si="53"/>
        <v>11.624441132637854</v>
      </c>
    </row>
    <row r="361" spans="1:19" x14ac:dyDescent="0.3">
      <c r="A361" t="s">
        <v>369</v>
      </c>
      <c r="B361" s="2">
        <v>45693</v>
      </c>
      <c r="C361" t="s">
        <v>514</v>
      </c>
      <c r="D361" t="s">
        <v>516</v>
      </c>
      <c r="E361">
        <v>7757.53</v>
      </c>
      <c r="F361">
        <v>6713.96</v>
      </c>
      <c r="G361">
        <v>134861</v>
      </c>
      <c r="H361">
        <v>3399</v>
      </c>
      <c r="I361">
        <v>139</v>
      </c>
      <c r="J361">
        <v>6741.34</v>
      </c>
      <c r="K361">
        <f t="shared" si="46"/>
        <v>2.520372828319529</v>
      </c>
      <c r="L361">
        <f t="shared" si="47"/>
        <v>1.9752750809061488</v>
      </c>
      <c r="M361">
        <f t="shared" si="45"/>
        <v>48.301870503597122</v>
      </c>
      <c r="N361">
        <f t="shared" si="48"/>
        <v>1.0040780701702126</v>
      </c>
      <c r="O361">
        <f t="shared" si="49"/>
        <v>27.380000000000109</v>
      </c>
      <c r="P361">
        <f t="shared" si="50"/>
        <v>-671396</v>
      </c>
      <c r="Q361">
        <f t="shared" si="51"/>
        <v>2025</v>
      </c>
      <c r="R361">
        <f t="shared" si="52"/>
        <v>2</v>
      </c>
      <c r="S361">
        <f t="shared" si="53"/>
        <v>4.0894380700205941</v>
      </c>
    </row>
    <row r="362" spans="1:19" x14ac:dyDescent="0.3">
      <c r="A362" t="s">
        <v>370</v>
      </c>
      <c r="B362" s="2">
        <v>45645</v>
      </c>
      <c r="C362" t="s">
        <v>512</v>
      </c>
      <c r="D362" t="s">
        <v>518</v>
      </c>
      <c r="E362">
        <v>8504.42</v>
      </c>
      <c r="F362">
        <v>7031.65</v>
      </c>
      <c r="G362">
        <v>176820</v>
      </c>
      <c r="H362">
        <v>1932</v>
      </c>
      <c r="I362">
        <v>64</v>
      </c>
      <c r="J362">
        <v>2081.7600000000002</v>
      </c>
      <c r="K362">
        <f t="shared" si="46"/>
        <v>1.0926365795724466</v>
      </c>
      <c r="L362">
        <f t="shared" si="47"/>
        <v>3.6395703933747412</v>
      </c>
      <c r="M362">
        <f t="shared" si="45"/>
        <v>109.86953124999999</v>
      </c>
      <c r="N362">
        <f t="shared" si="48"/>
        <v>0.29605569105402008</v>
      </c>
      <c r="O362">
        <f t="shared" si="49"/>
        <v>-4949.8899999999994</v>
      </c>
      <c r="P362">
        <f t="shared" si="50"/>
        <v>-703165</v>
      </c>
      <c r="Q362">
        <f t="shared" si="51"/>
        <v>2024</v>
      </c>
      <c r="R362">
        <f t="shared" si="52"/>
        <v>12</v>
      </c>
      <c r="S362">
        <f t="shared" si="53"/>
        <v>3.3126293995859215</v>
      </c>
    </row>
    <row r="363" spans="1:19" x14ac:dyDescent="0.3">
      <c r="A363" t="s">
        <v>371</v>
      </c>
      <c r="B363" s="2">
        <v>45793</v>
      </c>
      <c r="C363" t="s">
        <v>512</v>
      </c>
      <c r="D363" t="s">
        <v>518</v>
      </c>
      <c r="E363">
        <v>9153.83</v>
      </c>
      <c r="F363">
        <v>9917.44</v>
      </c>
      <c r="G363">
        <v>86387</v>
      </c>
      <c r="H363">
        <v>2059</v>
      </c>
      <c r="I363">
        <v>67</v>
      </c>
      <c r="J363">
        <v>2279.48</v>
      </c>
      <c r="K363">
        <f t="shared" si="46"/>
        <v>2.3834604743769314</v>
      </c>
      <c r="L363">
        <f t="shared" si="47"/>
        <v>4.8166294317629923</v>
      </c>
      <c r="M363">
        <f t="shared" si="45"/>
        <v>148.02149253731343</v>
      </c>
      <c r="N363">
        <f t="shared" si="48"/>
        <v>0.22984560531750128</v>
      </c>
      <c r="O363">
        <f t="shared" si="49"/>
        <v>-7637.9600000000009</v>
      </c>
      <c r="P363">
        <f t="shared" si="50"/>
        <v>-991744</v>
      </c>
      <c r="Q363">
        <f t="shared" si="51"/>
        <v>2025</v>
      </c>
      <c r="R363">
        <f t="shared" si="52"/>
        <v>5</v>
      </c>
      <c r="S363">
        <f t="shared" si="53"/>
        <v>3.2540067994171933</v>
      </c>
    </row>
    <row r="364" spans="1:19" x14ac:dyDescent="0.3">
      <c r="A364" t="s">
        <v>372</v>
      </c>
      <c r="B364" s="2">
        <v>45765</v>
      </c>
      <c r="C364" t="s">
        <v>512</v>
      </c>
      <c r="D364" t="s">
        <v>518</v>
      </c>
      <c r="E364">
        <v>7293.88</v>
      </c>
      <c r="F364">
        <v>6200.6</v>
      </c>
      <c r="G364">
        <v>53430</v>
      </c>
      <c r="H364">
        <v>2126</v>
      </c>
      <c r="I364">
        <v>397</v>
      </c>
      <c r="J364">
        <v>19744.82</v>
      </c>
      <c r="K364">
        <f t="shared" si="46"/>
        <v>3.9790379936365339</v>
      </c>
      <c r="L364">
        <f t="shared" si="47"/>
        <v>2.9165569143932268</v>
      </c>
      <c r="M364">
        <f t="shared" si="45"/>
        <v>15.618639798488665</v>
      </c>
      <c r="N364">
        <f t="shared" si="48"/>
        <v>3.1843402251395023</v>
      </c>
      <c r="O364">
        <f t="shared" si="49"/>
        <v>13544.22</v>
      </c>
      <c r="P364">
        <f t="shared" si="50"/>
        <v>-620060</v>
      </c>
      <c r="Q364">
        <f t="shared" si="51"/>
        <v>2025</v>
      </c>
      <c r="R364">
        <f t="shared" si="52"/>
        <v>4</v>
      </c>
      <c r="S364">
        <f t="shared" si="53"/>
        <v>18.673565380997179</v>
      </c>
    </row>
    <row r="365" spans="1:19" x14ac:dyDescent="0.3">
      <c r="A365" t="s">
        <v>373</v>
      </c>
      <c r="B365" s="2">
        <v>45686</v>
      </c>
      <c r="C365" t="s">
        <v>510</v>
      </c>
      <c r="D365" t="s">
        <v>518</v>
      </c>
      <c r="E365">
        <v>4621.7</v>
      </c>
      <c r="F365">
        <v>5004.47</v>
      </c>
      <c r="G365">
        <v>164936</v>
      </c>
      <c r="H365">
        <v>4651</v>
      </c>
      <c r="I365">
        <v>231</v>
      </c>
      <c r="J365">
        <v>9122.0499999999993</v>
      </c>
      <c r="K365">
        <f t="shared" si="46"/>
        <v>2.8198816510646556</v>
      </c>
      <c r="L365">
        <f t="shared" si="47"/>
        <v>1.0759987099548485</v>
      </c>
      <c r="M365">
        <f t="shared" si="45"/>
        <v>21.664372294372296</v>
      </c>
      <c r="N365">
        <f t="shared" si="48"/>
        <v>1.8227804342917429</v>
      </c>
      <c r="O365">
        <f t="shared" si="49"/>
        <v>4117.579999999999</v>
      </c>
      <c r="P365">
        <f t="shared" si="50"/>
        <v>-500447</v>
      </c>
      <c r="Q365">
        <f t="shared" si="51"/>
        <v>2025</v>
      </c>
      <c r="R365">
        <f t="shared" si="52"/>
        <v>1</v>
      </c>
      <c r="S365">
        <f t="shared" si="53"/>
        <v>4.9666738335841751</v>
      </c>
    </row>
    <row r="366" spans="1:19" x14ac:dyDescent="0.3">
      <c r="A366" t="s">
        <v>374</v>
      </c>
      <c r="B366" s="2">
        <v>45726</v>
      </c>
      <c r="C366" t="s">
        <v>512</v>
      </c>
      <c r="D366" t="s">
        <v>518</v>
      </c>
      <c r="E366">
        <v>7254.16</v>
      </c>
      <c r="F366">
        <v>6919.07</v>
      </c>
      <c r="G366">
        <v>152738</v>
      </c>
      <c r="H366">
        <v>4601</v>
      </c>
      <c r="I366">
        <v>244</v>
      </c>
      <c r="J366">
        <v>6568.5</v>
      </c>
      <c r="K366">
        <f t="shared" si="46"/>
        <v>3.0123479422278674</v>
      </c>
      <c r="L366">
        <f t="shared" si="47"/>
        <v>1.503818735057596</v>
      </c>
      <c r="M366">
        <f t="shared" si="45"/>
        <v>28.35684426229508</v>
      </c>
      <c r="N366">
        <f t="shared" si="48"/>
        <v>0.94933278605361704</v>
      </c>
      <c r="O366">
        <f t="shared" si="49"/>
        <v>-350.56999999999971</v>
      </c>
      <c r="P366">
        <f t="shared" si="50"/>
        <v>-691907</v>
      </c>
      <c r="Q366">
        <f t="shared" si="51"/>
        <v>2025</v>
      </c>
      <c r="R366">
        <f t="shared" si="52"/>
        <v>3</v>
      </c>
      <c r="S366">
        <f t="shared" si="53"/>
        <v>5.3031949576179089</v>
      </c>
    </row>
    <row r="367" spans="1:19" x14ac:dyDescent="0.3">
      <c r="A367" t="s">
        <v>375</v>
      </c>
      <c r="B367" s="2">
        <v>45694</v>
      </c>
      <c r="C367" t="s">
        <v>512</v>
      </c>
      <c r="D367" t="s">
        <v>518</v>
      </c>
      <c r="E367">
        <v>4235.7</v>
      </c>
      <c r="F367">
        <v>3668.73</v>
      </c>
      <c r="G367">
        <v>76927</v>
      </c>
      <c r="H367">
        <v>1398</v>
      </c>
      <c r="I367">
        <v>241</v>
      </c>
      <c r="J367">
        <v>6167.95</v>
      </c>
      <c r="K367">
        <f t="shared" si="46"/>
        <v>1.8173073173268162</v>
      </c>
      <c r="L367">
        <f t="shared" si="47"/>
        <v>2.6242703862660943</v>
      </c>
      <c r="M367">
        <f t="shared" si="45"/>
        <v>15.222946058091287</v>
      </c>
      <c r="N367">
        <f t="shared" si="48"/>
        <v>1.6812221122840874</v>
      </c>
      <c r="O367">
        <f t="shared" si="49"/>
        <v>2499.2199999999998</v>
      </c>
      <c r="P367">
        <f t="shared" si="50"/>
        <v>-366873</v>
      </c>
      <c r="Q367">
        <f t="shared" si="51"/>
        <v>2025</v>
      </c>
      <c r="R367">
        <f t="shared" si="52"/>
        <v>2</v>
      </c>
      <c r="S367">
        <f t="shared" si="53"/>
        <v>17.238912732474965</v>
      </c>
    </row>
    <row r="368" spans="1:19" x14ac:dyDescent="0.3">
      <c r="A368" t="s">
        <v>376</v>
      </c>
      <c r="B368" s="2">
        <v>45736</v>
      </c>
      <c r="C368" t="s">
        <v>513</v>
      </c>
      <c r="D368" t="s">
        <v>517</v>
      </c>
      <c r="E368">
        <v>8457.09</v>
      </c>
      <c r="F368">
        <v>7653.98</v>
      </c>
      <c r="G368">
        <v>69189</v>
      </c>
      <c r="H368">
        <v>1438</v>
      </c>
      <c r="I368">
        <v>105</v>
      </c>
      <c r="J368">
        <v>2282.1999999999998</v>
      </c>
      <c r="K368">
        <f t="shared" si="46"/>
        <v>2.0783650580294557</v>
      </c>
      <c r="L368">
        <f t="shared" si="47"/>
        <v>5.3226564673157162</v>
      </c>
      <c r="M368">
        <f t="shared" si="45"/>
        <v>72.895047619047617</v>
      </c>
      <c r="N368">
        <f t="shared" si="48"/>
        <v>0.29817167016375795</v>
      </c>
      <c r="O368">
        <f t="shared" si="49"/>
        <v>-5371.78</v>
      </c>
      <c r="P368">
        <f t="shared" si="50"/>
        <v>-765398</v>
      </c>
      <c r="Q368">
        <f t="shared" si="51"/>
        <v>2025</v>
      </c>
      <c r="R368">
        <f t="shared" si="52"/>
        <v>3</v>
      </c>
      <c r="S368">
        <f t="shared" si="53"/>
        <v>7.3018080667593885</v>
      </c>
    </row>
    <row r="369" spans="1:19" x14ac:dyDescent="0.3">
      <c r="A369" t="s">
        <v>377</v>
      </c>
      <c r="B369" s="2">
        <v>45747</v>
      </c>
      <c r="C369" t="s">
        <v>513</v>
      </c>
      <c r="D369" t="s">
        <v>515</v>
      </c>
      <c r="E369">
        <v>9783.7199999999993</v>
      </c>
      <c r="F369">
        <v>10420.99</v>
      </c>
      <c r="G369">
        <v>127993</v>
      </c>
      <c r="H369">
        <v>3954</v>
      </c>
      <c r="I369">
        <v>611</v>
      </c>
      <c r="J369">
        <v>29225.7</v>
      </c>
      <c r="K369">
        <f t="shared" si="46"/>
        <v>3.0892314423445031</v>
      </c>
      <c r="L369">
        <f t="shared" si="47"/>
        <v>2.6355563985837125</v>
      </c>
      <c r="M369">
        <f t="shared" si="45"/>
        <v>17.055630114566284</v>
      </c>
      <c r="N369">
        <f t="shared" si="48"/>
        <v>2.8045032189839931</v>
      </c>
      <c r="O369">
        <f t="shared" si="49"/>
        <v>18804.71</v>
      </c>
      <c r="P369">
        <f t="shared" si="50"/>
        <v>-1042099.0000000001</v>
      </c>
      <c r="Q369">
        <f t="shared" si="51"/>
        <v>2025</v>
      </c>
      <c r="R369">
        <f t="shared" si="52"/>
        <v>3</v>
      </c>
      <c r="S369">
        <f t="shared" si="53"/>
        <v>15.452706120384422</v>
      </c>
    </row>
    <row r="370" spans="1:19" x14ac:dyDescent="0.3">
      <c r="A370" t="s">
        <v>378</v>
      </c>
      <c r="B370" s="2">
        <v>45719</v>
      </c>
      <c r="C370" t="s">
        <v>511</v>
      </c>
      <c r="D370" t="s">
        <v>517</v>
      </c>
      <c r="E370">
        <v>9964.35</v>
      </c>
      <c r="F370">
        <v>8491.31</v>
      </c>
      <c r="G370">
        <v>124998</v>
      </c>
      <c r="H370">
        <v>5305</v>
      </c>
      <c r="I370">
        <v>1051</v>
      </c>
      <c r="J370">
        <v>33513.51</v>
      </c>
      <c r="K370">
        <f t="shared" si="46"/>
        <v>4.2440679050864816</v>
      </c>
      <c r="L370">
        <f t="shared" si="47"/>
        <v>1.6006239396795474</v>
      </c>
      <c r="M370">
        <f t="shared" si="45"/>
        <v>8.0792673644148429</v>
      </c>
      <c r="N370">
        <f t="shared" si="48"/>
        <v>3.9468009058672928</v>
      </c>
      <c r="O370">
        <f t="shared" si="49"/>
        <v>25022.200000000004</v>
      </c>
      <c r="P370">
        <f t="shared" si="50"/>
        <v>-849130.99999999977</v>
      </c>
      <c r="Q370">
        <f t="shared" si="51"/>
        <v>2025</v>
      </c>
      <c r="R370">
        <f t="shared" si="52"/>
        <v>3</v>
      </c>
      <c r="S370">
        <f t="shared" si="53"/>
        <v>19.811498586239395</v>
      </c>
    </row>
    <row r="371" spans="1:19" x14ac:dyDescent="0.3">
      <c r="A371" t="s">
        <v>379</v>
      </c>
      <c r="B371" s="2">
        <v>45693</v>
      </c>
      <c r="C371" t="s">
        <v>510</v>
      </c>
      <c r="D371" t="s">
        <v>515</v>
      </c>
      <c r="E371">
        <v>8307.67</v>
      </c>
      <c r="F371">
        <v>8380.83</v>
      </c>
      <c r="G371">
        <v>107520</v>
      </c>
      <c r="H371">
        <v>2601</v>
      </c>
      <c r="I371">
        <v>369</v>
      </c>
      <c r="J371">
        <v>9083.6299999999992</v>
      </c>
      <c r="K371">
        <f t="shared" si="46"/>
        <v>2.4190848214285716</v>
      </c>
      <c r="L371">
        <f t="shared" si="47"/>
        <v>3.222156862745098</v>
      </c>
      <c r="M371">
        <f t="shared" si="45"/>
        <v>22.712276422764226</v>
      </c>
      <c r="N371">
        <f t="shared" si="48"/>
        <v>1.0838580426998279</v>
      </c>
      <c r="O371">
        <f t="shared" si="49"/>
        <v>702.79999999999927</v>
      </c>
      <c r="P371">
        <f t="shared" si="50"/>
        <v>-838083</v>
      </c>
      <c r="Q371">
        <f t="shared" si="51"/>
        <v>2025</v>
      </c>
      <c r="R371">
        <f t="shared" si="52"/>
        <v>2</v>
      </c>
      <c r="S371">
        <f t="shared" si="53"/>
        <v>14.186851211072666</v>
      </c>
    </row>
    <row r="372" spans="1:19" x14ac:dyDescent="0.3">
      <c r="A372" t="s">
        <v>380</v>
      </c>
      <c r="B372" s="2">
        <v>45655</v>
      </c>
      <c r="C372" t="s">
        <v>512</v>
      </c>
      <c r="D372" t="s">
        <v>518</v>
      </c>
      <c r="E372">
        <v>8710.83</v>
      </c>
      <c r="F372">
        <v>7555.18</v>
      </c>
      <c r="G372">
        <v>117796</v>
      </c>
      <c r="H372">
        <v>2015</v>
      </c>
      <c r="I372">
        <v>234</v>
      </c>
      <c r="J372">
        <v>6251.2</v>
      </c>
      <c r="K372">
        <f t="shared" si="46"/>
        <v>1.7105844001494108</v>
      </c>
      <c r="L372">
        <f t="shared" si="47"/>
        <v>3.749468982630273</v>
      </c>
      <c r="M372">
        <f t="shared" si="45"/>
        <v>32.28709401709402</v>
      </c>
      <c r="N372">
        <f t="shared" si="48"/>
        <v>0.82740583281933711</v>
      </c>
      <c r="O372">
        <f t="shared" si="49"/>
        <v>-1303.9800000000005</v>
      </c>
      <c r="P372">
        <f t="shared" si="50"/>
        <v>-755518</v>
      </c>
      <c r="Q372">
        <f t="shared" si="51"/>
        <v>2024</v>
      </c>
      <c r="R372">
        <f t="shared" si="52"/>
        <v>12</v>
      </c>
      <c r="S372">
        <f t="shared" si="53"/>
        <v>11.612903225806452</v>
      </c>
    </row>
    <row r="373" spans="1:19" x14ac:dyDescent="0.3">
      <c r="A373" t="s">
        <v>381</v>
      </c>
      <c r="B373" s="2">
        <v>45692</v>
      </c>
      <c r="C373" t="s">
        <v>514</v>
      </c>
      <c r="D373" t="s">
        <v>517</v>
      </c>
      <c r="E373">
        <v>6758.82</v>
      </c>
      <c r="F373">
        <v>6609.33</v>
      </c>
      <c r="G373">
        <v>56417</v>
      </c>
      <c r="H373">
        <v>2121</v>
      </c>
      <c r="I373">
        <v>213</v>
      </c>
      <c r="J373">
        <v>7966.75</v>
      </c>
      <c r="K373">
        <f t="shared" si="46"/>
        <v>3.7595051137068611</v>
      </c>
      <c r="L373">
        <f t="shared" si="47"/>
        <v>3.116138613861386</v>
      </c>
      <c r="M373">
        <f t="shared" si="45"/>
        <v>31.029718309859156</v>
      </c>
      <c r="N373">
        <f t="shared" si="48"/>
        <v>1.2053793652306664</v>
      </c>
      <c r="O373">
        <f t="shared" si="49"/>
        <v>1357.42</v>
      </c>
      <c r="P373">
        <f t="shared" si="50"/>
        <v>-660933</v>
      </c>
      <c r="Q373">
        <f t="shared" si="51"/>
        <v>2025</v>
      </c>
      <c r="R373">
        <f t="shared" si="52"/>
        <v>2</v>
      </c>
      <c r="S373">
        <f t="shared" si="53"/>
        <v>10.042432814710041</v>
      </c>
    </row>
    <row r="374" spans="1:19" x14ac:dyDescent="0.3">
      <c r="A374" t="s">
        <v>382</v>
      </c>
      <c r="B374" s="2">
        <v>45698</v>
      </c>
      <c r="C374" t="s">
        <v>511</v>
      </c>
      <c r="D374" t="s">
        <v>516</v>
      </c>
      <c r="E374">
        <v>3640.41</v>
      </c>
      <c r="F374">
        <v>3870.62</v>
      </c>
      <c r="G374">
        <v>133159</v>
      </c>
      <c r="H374">
        <v>6315</v>
      </c>
      <c r="I374">
        <v>1233</v>
      </c>
      <c r="J374">
        <v>34484.550000000003</v>
      </c>
      <c r="K374">
        <f t="shared" si="46"/>
        <v>4.7424507543613279</v>
      </c>
      <c r="L374">
        <f t="shared" si="47"/>
        <v>0.61292478226444969</v>
      </c>
      <c r="M374">
        <f t="shared" si="45"/>
        <v>3.1391889699918898</v>
      </c>
      <c r="N374">
        <f t="shared" si="48"/>
        <v>8.9093091029344151</v>
      </c>
      <c r="O374">
        <f t="shared" si="49"/>
        <v>30613.930000000004</v>
      </c>
      <c r="P374">
        <f t="shared" si="50"/>
        <v>-387061.99999999988</v>
      </c>
      <c r="Q374">
        <f t="shared" si="51"/>
        <v>2025</v>
      </c>
      <c r="R374">
        <f t="shared" si="52"/>
        <v>2</v>
      </c>
      <c r="S374">
        <f t="shared" si="53"/>
        <v>19.524940617577197</v>
      </c>
    </row>
    <row r="375" spans="1:19" x14ac:dyDescent="0.3">
      <c r="A375" t="s">
        <v>383</v>
      </c>
      <c r="B375" s="2">
        <v>45785</v>
      </c>
      <c r="C375" t="s">
        <v>514</v>
      </c>
      <c r="D375" t="s">
        <v>518</v>
      </c>
      <c r="E375">
        <v>3906.6</v>
      </c>
      <c r="F375">
        <v>4166.87</v>
      </c>
      <c r="G375">
        <v>184724</v>
      </c>
      <c r="H375">
        <v>5850</v>
      </c>
      <c r="I375">
        <v>633</v>
      </c>
      <c r="J375">
        <v>30807.82</v>
      </c>
      <c r="K375">
        <f t="shared" si="46"/>
        <v>3.1668868149238869</v>
      </c>
      <c r="L375">
        <f t="shared" si="47"/>
        <v>0.71228547008547005</v>
      </c>
      <c r="M375">
        <f t="shared" si="45"/>
        <v>6.5827330173775671</v>
      </c>
      <c r="N375">
        <f t="shared" si="48"/>
        <v>7.3935159964193753</v>
      </c>
      <c r="O375">
        <f t="shared" si="49"/>
        <v>26640.95</v>
      </c>
      <c r="P375">
        <f t="shared" si="50"/>
        <v>-416686.99999999988</v>
      </c>
      <c r="Q375">
        <f t="shared" si="51"/>
        <v>2025</v>
      </c>
      <c r="R375">
        <f t="shared" si="52"/>
        <v>5</v>
      </c>
      <c r="S375">
        <f t="shared" si="53"/>
        <v>10.820512820512821</v>
      </c>
    </row>
    <row r="376" spans="1:19" x14ac:dyDescent="0.3">
      <c r="A376" t="s">
        <v>384</v>
      </c>
      <c r="B376" s="2">
        <v>45644</v>
      </c>
      <c r="C376" t="s">
        <v>511</v>
      </c>
      <c r="D376" t="s">
        <v>516</v>
      </c>
      <c r="E376">
        <v>9034.89</v>
      </c>
      <c r="F376">
        <v>9422.08</v>
      </c>
      <c r="G376">
        <v>184680</v>
      </c>
      <c r="H376">
        <v>7103</v>
      </c>
      <c r="I376">
        <v>104</v>
      </c>
      <c r="J376">
        <v>4124.3500000000004</v>
      </c>
      <c r="K376">
        <f t="shared" si="46"/>
        <v>3.8461121940654106</v>
      </c>
      <c r="L376">
        <f t="shared" si="47"/>
        <v>1.3264930311136141</v>
      </c>
      <c r="M376">
        <f t="shared" si="45"/>
        <v>90.596923076923076</v>
      </c>
      <c r="N376">
        <f t="shared" si="48"/>
        <v>0.43773243275370199</v>
      </c>
      <c r="O376">
        <f t="shared" si="49"/>
        <v>-5297.73</v>
      </c>
      <c r="P376">
        <f t="shared" si="50"/>
        <v>-942208</v>
      </c>
      <c r="Q376">
        <f t="shared" si="51"/>
        <v>2024</v>
      </c>
      <c r="R376">
        <f t="shared" si="52"/>
        <v>12</v>
      </c>
      <c r="S376">
        <f t="shared" si="53"/>
        <v>1.464170068984936</v>
      </c>
    </row>
    <row r="377" spans="1:19" x14ac:dyDescent="0.3">
      <c r="A377" t="s">
        <v>385</v>
      </c>
      <c r="B377" s="2">
        <v>45743</v>
      </c>
      <c r="C377" t="s">
        <v>514</v>
      </c>
      <c r="D377" t="s">
        <v>515</v>
      </c>
      <c r="E377">
        <v>6856</v>
      </c>
      <c r="F377">
        <v>5663.71</v>
      </c>
      <c r="G377">
        <v>89044</v>
      </c>
      <c r="H377">
        <v>2861</v>
      </c>
      <c r="I377">
        <v>262</v>
      </c>
      <c r="J377">
        <v>8450.44</v>
      </c>
      <c r="K377">
        <f t="shared" si="46"/>
        <v>3.2130182830959972</v>
      </c>
      <c r="L377">
        <f t="shared" si="47"/>
        <v>1.979626004893394</v>
      </c>
      <c r="M377">
        <f t="shared" si="45"/>
        <v>21.617213740458016</v>
      </c>
      <c r="N377">
        <f t="shared" si="48"/>
        <v>1.4920326076017312</v>
      </c>
      <c r="O377">
        <f t="shared" si="49"/>
        <v>2786.7300000000005</v>
      </c>
      <c r="P377">
        <f t="shared" si="50"/>
        <v>-566371</v>
      </c>
      <c r="Q377">
        <f t="shared" si="51"/>
        <v>2025</v>
      </c>
      <c r="R377">
        <f t="shared" si="52"/>
        <v>3</v>
      </c>
      <c r="S377">
        <f t="shared" si="53"/>
        <v>9.1576371897937783</v>
      </c>
    </row>
    <row r="378" spans="1:19" x14ac:dyDescent="0.3">
      <c r="A378" t="s">
        <v>386</v>
      </c>
      <c r="B378" s="2">
        <v>45654</v>
      </c>
      <c r="C378" t="s">
        <v>514</v>
      </c>
      <c r="D378" t="s">
        <v>518</v>
      </c>
      <c r="E378">
        <v>5608.82</v>
      </c>
      <c r="F378">
        <v>4924.13</v>
      </c>
      <c r="G378">
        <v>146101</v>
      </c>
      <c r="H378">
        <v>1999</v>
      </c>
      <c r="I378">
        <v>79</v>
      </c>
      <c r="J378">
        <v>3294.51</v>
      </c>
      <c r="K378">
        <f t="shared" si="46"/>
        <v>1.3682315658345938</v>
      </c>
      <c r="L378">
        <f t="shared" si="47"/>
        <v>2.4632966483241621</v>
      </c>
      <c r="M378">
        <f t="shared" si="45"/>
        <v>62.33075949367089</v>
      </c>
      <c r="N378">
        <f t="shared" si="48"/>
        <v>0.66905422886885602</v>
      </c>
      <c r="O378">
        <f t="shared" si="49"/>
        <v>-1629.62</v>
      </c>
      <c r="P378">
        <f t="shared" si="50"/>
        <v>-492413</v>
      </c>
      <c r="Q378">
        <f t="shared" si="51"/>
        <v>2024</v>
      </c>
      <c r="R378">
        <f t="shared" si="52"/>
        <v>12</v>
      </c>
      <c r="S378">
        <f t="shared" si="53"/>
        <v>3.9519759879939969</v>
      </c>
    </row>
    <row r="379" spans="1:19" x14ac:dyDescent="0.3">
      <c r="A379" t="s">
        <v>387</v>
      </c>
      <c r="B379" s="2">
        <v>45675</v>
      </c>
      <c r="C379" t="s">
        <v>511</v>
      </c>
      <c r="D379" t="s">
        <v>516</v>
      </c>
      <c r="E379">
        <v>6471.13</v>
      </c>
      <c r="F379">
        <v>5334.24</v>
      </c>
      <c r="G379">
        <v>130452</v>
      </c>
      <c r="H379">
        <v>4881</v>
      </c>
      <c r="I379">
        <v>864</v>
      </c>
      <c r="J379">
        <v>22987.15</v>
      </c>
      <c r="K379">
        <f t="shared" si="46"/>
        <v>3.7416061079937446</v>
      </c>
      <c r="L379">
        <f t="shared" si="47"/>
        <v>1.0928580208973571</v>
      </c>
      <c r="M379">
        <f t="shared" si="45"/>
        <v>6.1738888888888885</v>
      </c>
      <c r="N379">
        <f t="shared" si="48"/>
        <v>4.3093580341341973</v>
      </c>
      <c r="O379">
        <f t="shared" si="49"/>
        <v>17652.910000000003</v>
      </c>
      <c r="P379">
        <f t="shared" si="50"/>
        <v>-533423.99999999977</v>
      </c>
      <c r="Q379">
        <f t="shared" si="51"/>
        <v>2025</v>
      </c>
      <c r="R379">
        <f t="shared" si="52"/>
        <v>1</v>
      </c>
      <c r="S379">
        <f t="shared" si="53"/>
        <v>17.701290719114933</v>
      </c>
    </row>
    <row r="380" spans="1:19" x14ac:dyDescent="0.3">
      <c r="A380" t="s">
        <v>388</v>
      </c>
      <c r="B380" s="2">
        <v>45766</v>
      </c>
      <c r="C380" t="s">
        <v>512</v>
      </c>
      <c r="D380" t="s">
        <v>518</v>
      </c>
      <c r="E380">
        <v>7782.81</v>
      </c>
      <c r="F380">
        <v>6404</v>
      </c>
      <c r="G380">
        <v>115837</v>
      </c>
      <c r="H380">
        <v>5035</v>
      </c>
      <c r="I380">
        <v>407</v>
      </c>
      <c r="J380">
        <v>18533.240000000002</v>
      </c>
      <c r="K380">
        <f t="shared" si="46"/>
        <v>4.3466249989208974</v>
      </c>
      <c r="L380">
        <f t="shared" si="47"/>
        <v>1.271896722939424</v>
      </c>
      <c r="M380">
        <f t="shared" si="45"/>
        <v>15.734643734643734</v>
      </c>
      <c r="N380">
        <f t="shared" si="48"/>
        <v>2.8940099937539041</v>
      </c>
      <c r="O380">
        <f t="shared" si="49"/>
        <v>12129.240000000002</v>
      </c>
      <c r="P380">
        <f t="shared" si="50"/>
        <v>-640400</v>
      </c>
      <c r="Q380">
        <f t="shared" si="51"/>
        <v>2025</v>
      </c>
      <c r="R380">
        <f t="shared" si="52"/>
        <v>4</v>
      </c>
      <c r="S380">
        <f t="shared" si="53"/>
        <v>8.0834160873882812</v>
      </c>
    </row>
    <row r="381" spans="1:19" x14ac:dyDescent="0.3">
      <c r="A381" t="s">
        <v>389</v>
      </c>
      <c r="B381" s="2">
        <v>45787</v>
      </c>
      <c r="C381" t="s">
        <v>510</v>
      </c>
      <c r="D381" t="s">
        <v>515</v>
      </c>
      <c r="E381">
        <v>6466.03</v>
      </c>
      <c r="F381">
        <v>6105.07</v>
      </c>
      <c r="G381">
        <v>186219</v>
      </c>
      <c r="H381">
        <v>6823</v>
      </c>
      <c r="I381">
        <v>526</v>
      </c>
      <c r="J381">
        <v>19868.189999999999</v>
      </c>
      <c r="K381">
        <f t="shared" si="46"/>
        <v>3.6639655459432174</v>
      </c>
      <c r="L381">
        <f t="shared" si="47"/>
        <v>0.89477795691044992</v>
      </c>
      <c r="M381">
        <f t="shared" si="45"/>
        <v>11.606596958174904</v>
      </c>
      <c r="N381">
        <f t="shared" si="48"/>
        <v>3.2543754617064176</v>
      </c>
      <c r="O381">
        <f t="shared" si="49"/>
        <v>13763.119999999999</v>
      </c>
      <c r="P381">
        <f t="shared" si="50"/>
        <v>-610507</v>
      </c>
      <c r="Q381">
        <f t="shared" si="51"/>
        <v>2025</v>
      </c>
      <c r="R381">
        <f t="shared" si="52"/>
        <v>5</v>
      </c>
      <c r="S381">
        <f t="shared" si="53"/>
        <v>7.7092188187014505</v>
      </c>
    </row>
    <row r="382" spans="1:19" x14ac:dyDescent="0.3">
      <c r="A382" t="s">
        <v>390</v>
      </c>
      <c r="B382" s="2">
        <v>45693</v>
      </c>
      <c r="C382" t="s">
        <v>512</v>
      </c>
      <c r="D382" t="s">
        <v>517</v>
      </c>
      <c r="E382">
        <v>8772.77</v>
      </c>
      <c r="F382">
        <v>7933.59</v>
      </c>
      <c r="G382">
        <v>165044</v>
      </c>
      <c r="H382">
        <v>3343</v>
      </c>
      <c r="I382">
        <v>448</v>
      </c>
      <c r="J382">
        <v>18072.54</v>
      </c>
      <c r="K382">
        <f t="shared" si="46"/>
        <v>2.0255204672693341</v>
      </c>
      <c r="L382">
        <f t="shared" si="47"/>
        <v>2.3731947352677238</v>
      </c>
      <c r="M382">
        <f t="shared" si="45"/>
        <v>17.708906250000002</v>
      </c>
      <c r="N382">
        <f t="shared" si="48"/>
        <v>2.2779775612301618</v>
      </c>
      <c r="O382">
        <f t="shared" si="49"/>
        <v>10138.950000000001</v>
      </c>
      <c r="P382">
        <f t="shared" si="50"/>
        <v>-793359</v>
      </c>
      <c r="Q382">
        <f t="shared" si="51"/>
        <v>2025</v>
      </c>
      <c r="R382">
        <f t="shared" si="52"/>
        <v>2</v>
      </c>
      <c r="S382">
        <f t="shared" si="53"/>
        <v>13.401136703559677</v>
      </c>
    </row>
    <row r="383" spans="1:19" x14ac:dyDescent="0.3">
      <c r="A383" t="s">
        <v>391</v>
      </c>
      <c r="B383" s="2">
        <v>45762</v>
      </c>
      <c r="C383" t="s">
        <v>510</v>
      </c>
      <c r="D383" t="s">
        <v>517</v>
      </c>
      <c r="E383">
        <v>6960.12</v>
      </c>
      <c r="F383">
        <v>6125.66</v>
      </c>
      <c r="G383">
        <v>181245</v>
      </c>
      <c r="H383">
        <v>4787</v>
      </c>
      <c r="I383">
        <v>615</v>
      </c>
      <c r="J383">
        <v>28510.720000000001</v>
      </c>
      <c r="K383">
        <f t="shared" si="46"/>
        <v>2.6411763083119535</v>
      </c>
      <c r="L383">
        <f t="shared" si="47"/>
        <v>1.2796448715270523</v>
      </c>
      <c r="M383">
        <f t="shared" si="45"/>
        <v>9.9604227642276424</v>
      </c>
      <c r="N383">
        <f t="shared" si="48"/>
        <v>4.6543099029329085</v>
      </c>
      <c r="O383">
        <f t="shared" si="49"/>
        <v>22385.06</v>
      </c>
      <c r="P383">
        <f t="shared" si="50"/>
        <v>-612566</v>
      </c>
      <c r="Q383">
        <f t="shared" si="51"/>
        <v>2025</v>
      </c>
      <c r="R383">
        <f t="shared" si="52"/>
        <v>4</v>
      </c>
      <c r="S383">
        <f t="shared" si="53"/>
        <v>12.847294756632547</v>
      </c>
    </row>
    <row r="384" spans="1:19" x14ac:dyDescent="0.3">
      <c r="A384" t="s">
        <v>392</v>
      </c>
      <c r="B384" s="2">
        <v>45815</v>
      </c>
      <c r="C384" t="s">
        <v>513</v>
      </c>
      <c r="D384" t="s">
        <v>518</v>
      </c>
      <c r="E384">
        <v>8581.98</v>
      </c>
      <c r="F384">
        <v>8560.83</v>
      </c>
      <c r="G384">
        <v>125026</v>
      </c>
      <c r="H384">
        <v>4106</v>
      </c>
      <c r="I384">
        <v>468</v>
      </c>
      <c r="J384">
        <v>21302.17</v>
      </c>
      <c r="K384">
        <f t="shared" si="46"/>
        <v>3.2841169036840339</v>
      </c>
      <c r="L384">
        <f t="shared" si="47"/>
        <v>2.084956161714564</v>
      </c>
      <c r="M384">
        <f t="shared" si="45"/>
        <v>18.292371794871794</v>
      </c>
      <c r="N384">
        <f t="shared" si="48"/>
        <v>2.4883299866952151</v>
      </c>
      <c r="O384">
        <f t="shared" si="49"/>
        <v>12741.339999999998</v>
      </c>
      <c r="P384">
        <f t="shared" si="50"/>
        <v>-856083</v>
      </c>
      <c r="Q384">
        <f t="shared" si="51"/>
        <v>2025</v>
      </c>
      <c r="R384">
        <f t="shared" si="52"/>
        <v>6</v>
      </c>
      <c r="S384">
        <f t="shared" si="53"/>
        <v>11.397954213346322</v>
      </c>
    </row>
    <row r="385" spans="1:19" x14ac:dyDescent="0.3">
      <c r="A385" t="s">
        <v>393</v>
      </c>
      <c r="B385" s="2">
        <v>45699</v>
      </c>
      <c r="C385" t="s">
        <v>511</v>
      </c>
      <c r="D385" t="s">
        <v>517</v>
      </c>
      <c r="E385">
        <v>9071.06</v>
      </c>
      <c r="F385">
        <v>9184.5300000000007</v>
      </c>
      <c r="G385">
        <v>172320</v>
      </c>
      <c r="H385">
        <v>5189</v>
      </c>
      <c r="I385">
        <v>470</v>
      </c>
      <c r="J385">
        <v>21201.89</v>
      </c>
      <c r="K385">
        <f t="shared" si="46"/>
        <v>3.0112581244196841</v>
      </c>
      <c r="L385">
        <f t="shared" si="47"/>
        <v>1.77</v>
      </c>
      <c r="M385">
        <f t="shared" si="45"/>
        <v>19.541553191489363</v>
      </c>
      <c r="N385">
        <f t="shared" si="48"/>
        <v>2.3084349444119621</v>
      </c>
      <c r="O385">
        <f t="shared" si="49"/>
        <v>12017.359999999999</v>
      </c>
      <c r="P385">
        <f t="shared" si="50"/>
        <v>-918453.00000000012</v>
      </c>
      <c r="Q385">
        <f t="shared" si="51"/>
        <v>2025</v>
      </c>
      <c r="R385">
        <f t="shared" si="52"/>
        <v>2</v>
      </c>
      <c r="S385">
        <f t="shared" si="53"/>
        <v>9.0576218924648284</v>
      </c>
    </row>
    <row r="386" spans="1:19" x14ac:dyDescent="0.3">
      <c r="A386" t="s">
        <v>394</v>
      </c>
      <c r="B386" s="2">
        <v>45752</v>
      </c>
      <c r="C386" t="s">
        <v>510</v>
      </c>
      <c r="D386" t="s">
        <v>518</v>
      </c>
      <c r="E386">
        <v>7882.3</v>
      </c>
      <c r="F386">
        <v>7914.16</v>
      </c>
      <c r="G386">
        <v>169951</v>
      </c>
      <c r="H386">
        <v>5839</v>
      </c>
      <c r="I386">
        <v>987</v>
      </c>
      <c r="J386">
        <v>38057.08</v>
      </c>
      <c r="K386">
        <f t="shared" si="46"/>
        <v>3.4356961712493606</v>
      </c>
      <c r="L386">
        <f t="shared" si="47"/>
        <v>1.3553964719986298</v>
      </c>
      <c r="M386">
        <f t="shared" ref="M386:M449" si="54">(F386/I386)</f>
        <v>8.0183991894630182</v>
      </c>
      <c r="N386">
        <f t="shared" si="48"/>
        <v>4.8087327018912935</v>
      </c>
      <c r="O386">
        <f t="shared" si="49"/>
        <v>30142.920000000002</v>
      </c>
      <c r="P386">
        <f t="shared" si="50"/>
        <v>-791416</v>
      </c>
      <c r="Q386">
        <f t="shared" si="51"/>
        <v>2025</v>
      </c>
      <c r="R386">
        <f t="shared" si="52"/>
        <v>4</v>
      </c>
      <c r="S386">
        <f t="shared" si="53"/>
        <v>16.903579380030827</v>
      </c>
    </row>
    <row r="387" spans="1:19" x14ac:dyDescent="0.3">
      <c r="A387" t="s">
        <v>395</v>
      </c>
      <c r="B387" s="2">
        <v>45758</v>
      </c>
      <c r="C387" t="s">
        <v>510</v>
      </c>
      <c r="D387" t="s">
        <v>516</v>
      </c>
      <c r="E387">
        <v>8269.02</v>
      </c>
      <c r="F387">
        <v>7008.67</v>
      </c>
      <c r="G387">
        <v>117094</v>
      </c>
      <c r="H387">
        <v>1370</v>
      </c>
      <c r="I387">
        <v>194</v>
      </c>
      <c r="J387">
        <v>9006.67</v>
      </c>
      <c r="K387">
        <f t="shared" ref="K387:K450" si="55">((H387/G387)*100)</f>
        <v>1.1700001708029446</v>
      </c>
      <c r="L387">
        <f t="shared" ref="L387:L450" si="56">(F387/H387)</f>
        <v>5.1158175182481749</v>
      </c>
      <c r="M387">
        <f t="shared" si="54"/>
        <v>36.127164948453611</v>
      </c>
      <c r="N387">
        <f t="shared" ref="N387:N450" si="57">(J387/F387)</f>
        <v>1.2850754850777679</v>
      </c>
      <c r="O387">
        <f t="shared" ref="O387:O450" si="58">(J387-F387)</f>
        <v>1998</v>
      </c>
      <c r="P387">
        <f t="shared" ref="P387:P450" si="59">(O387-J387)*100</f>
        <v>-700867</v>
      </c>
      <c r="Q387">
        <f t="shared" ref="Q387:Q450" si="60">YEAR(B387)</f>
        <v>2025</v>
      </c>
      <c r="R387">
        <f t="shared" ref="R387:R450" si="61">MONTH(B387)</f>
        <v>4</v>
      </c>
      <c r="S387">
        <f t="shared" ref="S387:S450" si="62">(I387/H387)*100</f>
        <v>14.160583941605839</v>
      </c>
    </row>
    <row r="388" spans="1:19" x14ac:dyDescent="0.3">
      <c r="A388" t="s">
        <v>396</v>
      </c>
      <c r="B388" s="2">
        <v>45752</v>
      </c>
      <c r="C388" t="s">
        <v>512</v>
      </c>
      <c r="D388" t="s">
        <v>516</v>
      </c>
      <c r="E388">
        <v>9102.9</v>
      </c>
      <c r="F388">
        <v>7362.19</v>
      </c>
      <c r="G388">
        <v>54766</v>
      </c>
      <c r="H388">
        <v>2723</v>
      </c>
      <c r="I388">
        <v>466</v>
      </c>
      <c r="J388">
        <v>20864.919999999998</v>
      </c>
      <c r="K388">
        <f t="shared" si="55"/>
        <v>4.9720629587700396</v>
      </c>
      <c r="L388">
        <f t="shared" si="56"/>
        <v>2.7037054719059861</v>
      </c>
      <c r="M388">
        <f t="shared" si="54"/>
        <v>15.798690987124463</v>
      </c>
      <c r="N388">
        <f t="shared" si="57"/>
        <v>2.8340643205350582</v>
      </c>
      <c r="O388">
        <f t="shared" si="58"/>
        <v>13502.73</v>
      </c>
      <c r="P388">
        <f t="shared" si="59"/>
        <v>-736218.99999999988</v>
      </c>
      <c r="Q388">
        <f t="shared" si="60"/>
        <v>2025</v>
      </c>
      <c r="R388">
        <f t="shared" si="61"/>
        <v>4</v>
      </c>
      <c r="S388">
        <f t="shared" si="62"/>
        <v>17.113477781858244</v>
      </c>
    </row>
    <row r="389" spans="1:19" x14ac:dyDescent="0.3">
      <c r="A389" t="s">
        <v>397</v>
      </c>
      <c r="B389" s="2">
        <v>45667</v>
      </c>
      <c r="C389" t="s">
        <v>512</v>
      </c>
      <c r="D389" t="s">
        <v>518</v>
      </c>
      <c r="E389">
        <v>3902.09</v>
      </c>
      <c r="F389">
        <v>3513.97</v>
      </c>
      <c r="G389">
        <v>197025</v>
      </c>
      <c r="H389">
        <v>6420</v>
      </c>
      <c r="I389">
        <v>253</v>
      </c>
      <c r="J389">
        <v>10703.23</v>
      </c>
      <c r="K389">
        <f t="shared" si="55"/>
        <v>3.2584697373429767</v>
      </c>
      <c r="L389">
        <f t="shared" si="56"/>
        <v>0.54734735202492213</v>
      </c>
      <c r="M389">
        <f t="shared" si="54"/>
        <v>13.889209486166006</v>
      </c>
      <c r="N389">
        <f t="shared" si="57"/>
        <v>3.0459081893129425</v>
      </c>
      <c r="O389">
        <f t="shared" si="58"/>
        <v>7189.26</v>
      </c>
      <c r="P389">
        <f t="shared" si="59"/>
        <v>-351396.99999999994</v>
      </c>
      <c r="Q389">
        <f t="shared" si="60"/>
        <v>2025</v>
      </c>
      <c r="R389">
        <f t="shared" si="61"/>
        <v>1</v>
      </c>
      <c r="S389">
        <f t="shared" si="62"/>
        <v>3.9408099688473524</v>
      </c>
    </row>
    <row r="390" spans="1:19" x14ac:dyDescent="0.3">
      <c r="A390" t="s">
        <v>398</v>
      </c>
      <c r="B390" s="2">
        <v>45716</v>
      </c>
      <c r="C390" t="s">
        <v>510</v>
      </c>
      <c r="D390" t="s">
        <v>516</v>
      </c>
      <c r="E390">
        <v>4125.32</v>
      </c>
      <c r="F390">
        <v>4312.57</v>
      </c>
      <c r="G390">
        <v>119124</v>
      </c>
      <c r="H390">
        <v>3940</v>
      </c>
      <c r="I390">
        <v>727</v>
      </c>
      <c r="J390">
        <v>32688.85</v>
      </c>
      <c r="K390">
        <f t="shared" si="55"/>
        <v>3.3074779221651389</v>
      </c>
      <c r="L390">
        <f t="shared" si="56"/>
        <v>1.0945609137055836</v>
      </c>
      <c r="M390">
        <f t="shared" si="54"/>
        <v>5.9320082530949101</v>
      </c>
      <c r="N390">
        <f t="shared" si="57"/>
        <v>7.5799001523453535</v>
      </c>
      <c r="O390">
        <f t="shared" si="58"/>
        <v>28376.28</v>
      </c>
      <c r="P390">
        <f t="shared" si="59"/>
        <v>-431257</v>
      </c>
      <c r="Q390">
        <f t="shared" si="60"/>
        <v>2025</v>
      </c>
      <c r="R390">
        <f t="shared" si="61"/>
        <v>2</v>
      </c>
      <c r="S390">
        <f t="shared" si="62"/>
        <v>18.451776649746193</v>
      </c>
    </row>
    <row r="391" spans="1:19" x14ac:dyDescent="0.3">
      <c r="A391" t="s">
        <v>399</v>
      </c>
      <c r="B391" s="2">
        <v>45815</v>
      </c>
      <c r="C391" t="s">
        <v>512</v>
      </c>
      <c r="D391" t="s">
        <v>518</v>
      </c>
      <c r="E391">
        <v>6552.27</v>
      </c>
      <c r="F391">
        <v>5254.37</v>
      </c>
      <c r="G391">
        <v>68519</v>
      </c>
      <c r="H391">
        <v>3190</v>
      </c>
      <c r="I391">
        <v>282</v>
      </c>
      <c r="J391">
        <v>8068.34</v>
      </c>
      <c r="K391">
        <f t="shared" si="55"/>
        <v>4.6556429603467651</v>
      </c>
      <c r="L391">
        <f t="shared" si="56"/>
        <v>1.6471379310344827</v>
      </c>
      <c r="M391">
        <f t="shared" si="54"/>
        <v>18.632517730496453</v>
      </c>
      <c r="N391">
        <f t="shared" si="57"/>
        <v>1.5355485053393652</v>
      </c>
      <c r="O391">
        <f t="shared" si="58"/>
        <v>2813.9700000000003</v>
      </c>
      <c r="P391">
        <f t="shared" si="59"/>
        <v>-525437</v>
      </c>
      <c r="Q391">
        <f t="shared" si="60"/>
        <v>2025</v>
      </c>
      <c r="R391">
        <f t="shared" si="61"/>
        <v>6</v>
      </c>
      <c r="S391">
        <f t="shared" si="62"/>
        <v>8.8401253918495293</v>
      </c>
    </row>
    <row r="392" spans="1:19" x14ac:dyDescent="0.3">
      <c r="A392" t="s">
        <v>400</v>
      </c>
      <c r="B392" s="2">
        <v>45697</v>
      </c>
      <c r="C392" t="s">
        <v>510</v>
      </c>
      <c r="D392" t="s">
        <v>518</v>
      </c>
      <c r="E392">
        <v>7318.49</v>
      </c>
      <c r="F392">
        <v>8009.03</v>
      </c>
      <c r="G392">
        <v>140986</v>
      </c>
      <c r="H392">
        <v>2922</v>
      </c>
      <c r="I392">
        <v>339</v>
      </c>
      <c r="J392">
        <v>13205.54</v>
      </c>
      <c r="K392">
        <f t="shared" si="55"/>
        <v>2.0725462102620118</v>
      </c>
      <c r="L392">
        <f t="shared" si="56"/>
        <v>2.7409411362080767</v>
      </c>
      <c r="M392">
        <f t="shared" si="54"/>
        <v>23.625457227138643</v>
      </c>
      <c r="N392">
        <f t="shared" si="57"/>
        <v>1.648831381578044</v>
      </c>
      <c r="O392">
        <f t="shared" si="58"/>
        <v>5196.5100000000011</v>
      </c>
      <c r="P392">
        <f t="shared" si="59"/>
        <v>-800903</v>
      </c>
      <c r="Q392">
        <f t="shared" si="60"/>
        <v>2025</v>
      </c>
      <c r="R392">
        <f t="shared" si="61"/>
        <v>2</v>
      </c>
      <c r="S392">
        <f t="shared" si="62"/>
        <v>11.601642710472278</v>
      </c>
    </row>
    <row r="393" spans="1:19" x14ac:dyDescent="0.3">
      <c r="A393" t="s">
        <v>401</v>
      </c>
      <c r="B393" s="2">
        <v>45762</v>
      </c>
      <c r="C393" t="s">
        <v>510</v>
      </c>
      <c r="D393" t="s">
        <v>518</v>
      </c>
      <c r="E393">
        <v>4818.63</v>
      </c>
      <c r="F393">
        <v>4771.42</v>
      </c>
      <c r="G393">
        <v>175888</v>
      </c>
      <c r="H393">
        <v>8565</v>
      </c>
      <c r="I393">
        <v>610</v>
      </c>
      <c r="J393">
        <v>22081.73</v>
      </c>
      <c r="K393">
        <f t="shared" si="55"/>
        <v>4.8695760938779227</v>
      </c>
      <c r="L393">
        <f t="shared" si="56"/>
        <v>0.55708347927612378</v>
      </c>
      <c r="M393">
        <f t="shared" si="54"/>
        <v>7.8220000000000001</v>
      </c>
      <c r="N393">
        <f t="shared" si="57"/>
        <v>4.6279157986511352</v>
      </c>
      <c r="O393">
        <f t="shared" si="58"/>
        <v>17310.309999999998</v>
      </c>
      <c r="P393">
        <f t="shared" si="59"/>
        <v>-477142.00000000017</v>
      </c>
      <c r="Q393">
        <f t="shared" si="60"/>
        <v>2025</v>
      </c>
      <c r="R393">
        <f t="shared" si="61"/>
        <v>4</v>
      </c>
      <c r="S393">
        <f t="shared" si="62"/>
        <v>7.1220081727962636</v>
      </c>
    </row>
    <row r="394" spans="1:19" x14ac:dyDescent="0.3">
      <c r="A394" t="s">
        <v>402</v>
      </c>
      <c r="B394" s="2">
        <v>45645</v>
      </c>
      <c r="C394" t="s">
        <v>511</v>
      </c>
      <c r="D394" t="s">
        <v>516</v>
      </c>
      <c r="E394">
        <v>8458.92</v>
      </c>
      <c r="F394">
        <v>7038.62</v>
      </c>
      <c r="G394">
        <v>187533</v>
      </c>
      <c r="H394">
        <v>7387</v>
      </c>
      <c r="I394">
        <v>925</v>
      </c>
      <c r="J394">
        <v>39618.519999999997</v>
      </c>
      <c r="K394">
        <f t="shared" si="55"/>
        <v>3.9390400622823716</v>
      </c>
      <c r="L394">
        <f t="shared" si="56"/>
        <v>0.95283877081359147</v>
      </c>
      <c r="M394">
        <f t="shared" si="54"/>
        <v>7.6093189189189188</v>
      </c>
      <c r="N394">
        <f t="shared" si="57"/>
        <v>5.628734041616112</v>
      </c>
      <c r="O394">
        <f t="shared" si="58"/>
        <v>32579.899999999998</v>
      </c>
      <c r="P394">
        <f t="shared" si="59"/>
        <v>-703861.99999999988</v>
      </c>
      <c r="Q394">
        <f t="shared" si="60"/>
        <v>2024</v>
      </c>
      <c r="R394">
        <f t="shared" si="61"/>
        <v>12</v>
      </c>
      <c r="S394">
        <f t="shared" si="62"/>
        <v>12.521998104778664</v>
      </c>
    </row>
    <row r="395" spans="1:19" x14ac:dyDescent="0.3">
      <c r="A395" t="s">
        <v>403</v>
      </c>
      <c r="B395" s="2">
        <v>45727</v>
      </c>
      <c r="C395" t="s">
        <v>513</v>
      </c>
      <c r="D395" t="s">
        <v>516</v>
      </c>
      <c r="E395">
        <v>6788.87</v>
      </c>
      <c r="F395">
        <v>7392.38</v>
      </c>
      <c r="G395">
        <v>91252</v>
      </c>
      <c r="H395">
        <v>1758</v>
      </c>
      <c r="I395">
        <v>270</v>
      </c>
      <c r="J395">
        <v>8169.16</v>
      </c>
      <c r="K395">
        <f t="shared" si="55"/>
        <v>1.9265331170823654</v>
      </c>
      <c r="L395">
        <f t="shared" si="56"/>
        <v>4.2049943117178614</v>
      </c>
      <c r="M395">
        <f t="shared" si="54"/>
        <v>27.379185185185186</v>
      </c>
      <c r="N395">
        <f t="shared" si="57"/>
        <v>1.1050784726975615</v>
      </c>
      <c r="O395">
        <f t="shared" si="58"/>
        <v>776.77999999999975</v>
      </c>
      <c r="P395">
        <f t="shared" si="59"/>
        <v>-739238</v>
      </c>
      <c r="Q395">
        <f t="shared" si="60"/>
        <v>2025</v>
      </c>
      <c r="R395">
        <f t="shared" si="61"/>
        <v>3</v>
      </c>
      <c r="S395">
        <f t="shared" si="62"/>
        <v>15.358361774744028</v>
      </c>
    </row>
    <row r="396" spans="1:19" x14ac:dyDescent="0.3">
      <c r="A396" t="s">
        <v>404</v>
      </c>
      <c r="B396" s="2">
        <v>45742</v>
      </c>
      <c r="C396" t="s">
        <v>511</v>
      </c>
      <c r="D396" t="s">
        <v>515</v>
      </c>
      <c r="E396">
        <v>7428.35</v>
      </c>
      <c r="F396">
        <v>8019.71</v>
      </c>
      <c r="G396">
        <v>145695</v>
      </c>
      <c r="H396">
        <v>2785</v>
      </c>
      <c r="I396">
        <v>83</v>
      </c>
      <c r="J396">
        <v>1915.25</v>
      </c>
      <c r="K396">
        <f t="shared" si="55"/>
        <v>1.9115275060914922</v>
      </c>
      <c r="L396">
        <f t="shared" si="56"/>
        <v>2.879608617594255</v>
      </c>
      <c r="M396">
        <f t="shared" si="54"/>
        <v>96.623012048192777</v>
      </c>
      <c r="N396">
        <f t="shared" si="57"/>
        <v>0.23881786249128709</v>
      </c>
      <c r="O396">
        <f t="shared" si="58"/>
        <v>-6104.46</v>
      </c>
      <c r="P396">
        <f t="shared" si="59"/>
        <v>-801971</v>
      </c>
      <c r="Q396">
        <f t="shared" si="60"/>
        <v>2025</v>
      </c>
      <c r="R396">
        <f t="shared" si="61"/>
        <v>3</v>
      </c>
      <c r="S396">
        <f t="shared" si="62"/>
        <v>2.9802513464991023</v>
      </c>
    </row>
    <row r="397" spans="1:19" x14ac:dyDescent="0.3">
      <c r="A397" t="s">
        <v>405</v>
      </c>
      <c r="B397" s="2">
        <v>45786</v>
      </c>
      <c r="C397" t="s">
        <v>511</v>
      </c>
      <c r="D397" t="s">
        <v>516</v>
      </c>
      <c r="E397">
        <v>9560.6</v>
      </c>
      <c r="F397">
        <v>9621.4599999999991</v>
      </c>
      <c r="G397">
        <v>165271</v>
      </c>
      <c r="H397">
        <v>3470</v>
      </c>
      <c r="I397">
        <v>651</v>
      </c>
      <c r="J397">
        <v>14344.86</v>
      </c>
      <c r="K397">
        <f t="shared" si="55"/>
        <v>2.0995818988207247</v>
      </c>
      <c r="L397">
        <f t="shared" si="56"/>
        <v>2.7727550432276655</v>
      </c>
      <c r="M397">
        <f t="shared" si="54"/>
        <v>14.779508448540705</v>
      </c>
      <c r="N397">
        <f t="shared" si="57"/>
        <v>1.4909234149494985</v>
      </c>
      <c r="O397">
        <f t="shared" si="58"/>
        <v>4723.4000000000015</v>
      </c>
      <c r="P397">
        <f t="shared" si="59"/>
        <v>-962145.99999999988</v>
      </c>
      <c r="Q397">
        <f t="shared" si="60"/>
        <v>2025</v>
      </c>
      <c r="R397">
        <f t="shared" si="61"/>
        <v>5</v>
      </c>
      <c r="S397">
        <f t="shared" si="62"/>
        <v>18.76080691642651</v>
      </c>
    </row>
    <row r="398" spans="1:19" x14ac:dyDescent="0.3">
      <c r="A398" t="s">
        <v>406</v>
      </c>
      <c r="B398" s="2">
        <v>45777</v>
      </c>
      <c r="C398" t="s">
        <v>513</v>
      </c>
      <c r="D398" t="s">
        <v>516</v>
      </c>
      <c r="E398">
        <v>5106.74</v>
      </c>
      <c r="F398">
        <v>5170.33</v>
      </c>
      <c r="G398">
        <v>69967</v>
      </c>
      <c r="H398">
        <v>1422</v>
      </c>
      <c r="I398">
        <v>153</v>
      </c>
      <c r="J398">
        <v>3369.14</v>
      </c>
      <c r="K398">
        <f t="shared" si="55"/>
        <v>2.0323866965855331</v>
      </c>
      <c r="L398">
        <f t="shared" si="56"/>
        <v>3.6359563994374122</v>
      </c>
      <c r="M398">
        <f t="shared" si="54"/>
        <v>33.793006535947711</v>
      </c>
      <c r="N398">
        <f t="shared" si="57"/>
        <v>0.65162958650608371</v>
      </c>
      <c r="O398">
        <f t="shared" si="58"/>
        <v>-1801.19</v>
      </c>
      <c r="P398">
        <f t="shared" si="59"/>
        <v>-517033</v>
      </c>
      <c r="Q398">
        <f t="shared" si="60"/>
        <v>2025</v>
      </c>
      <c r="R398">
        <f t="shared" si="61"/>
        <v>4</v>
      </c>
      <c r="S398">
        <f t="shared" si="62"/>
        <v>10.759493670886076</v>
      </c>
    </row>
    <row r="399" spans="1:19" x14ac:dyDescent="0.3">
      <c r="A399" t="s">
        <v>407</v>
      </c>
      <c r="B399" s="2">
        <v>45767</v>
      </c>
      <c r="C399" t="s">
        <v>514</v>
      </c>
      <c r="D399" t="s">
        <v>515</v>
      </c>
      <c r="E399">
        <v>7075.19</v>
      </c>
      <c r="F399">
        <v>6394.31</v>
      </c>
      <c r="G399">
        <v>193477</v>
      </c>
      <c r="H399">
        <v>8585</v>
      </c>
      <c r="I399">
        <v>591</v>
      </c>
      <c r="J399">
        <v>22828.83</v>
      </c>
      <c r="K399">
        <f t="shared" si="55"/>
        <v>4.4372199279500926</v>
      </c>
      <c r="L399">
        <f t="shared" si="56"/>
        <v>0.74482352941176477</v>
      </c>
      <c r="M399">
        <f t="shared" si="54"/>
        <v>10.81947546531303</v>
      </c>
      <c r="N399">
        <f t="shared" si="57"/>
        <v>3.5701787995890095</v>
      </c>
      <c r="O399">
        <f t="shared" si="58"/>
        <v>16434.52</v>
      </c>
      <c r="P399">
        <f t="shared" si="59"/>
        <v>-639431.00000000012</v>
      </c>
      <c r="Q399">
        <f t="shared" si="60"/>
        <v>2025</v>
      </c>
      <c r="R399">
        <f t="shared" si="61"/>
        <v>4</v>
      </c>
      <c r="S399">
        <f t="shared" si="62"/>
        <v>6.884100174723355</v>
      </c>
    </row>
    <row r="400" spans="1:19" x14ac:dyDescent="0.3">
      <c r="A400" t="s">
        <v>408</v>
      </c>
      <c r="B400" s="2">
        <v>45719</v>
      </c>
      <c r="C400" t="s">
        <v>514</v>
      </c>
      <c r="D400" t="s">
        <v>515</v>
      </c>
      <c r="E400">
        <v>3320.19</v>
      </c>
      <c r="F400">
        <v>3524.25</v>
      </c>
      <c r="G400">
        <v>180485</v>
      </c>
      <c r="H400">
        <v>1392</v>
      </c>
      <c r="I400">
        <v>278</v>
      </c>
      <c r="J400">
        <v>13678.9</v>
      </c>
      <c r="K400">
        <f t="shared" si="55"/>
        <v>0.77125522896639609</v>
      </c>
      <c r="L400">
        <f t="shared" si="56"/>
        <v>2.5317887931034484</v>
      </c>
      <c r="M400">
        <f t="shared" si="54"/>
        <v>12.677158273381295</v>
      </c>
      <c r="N400">
        <f t="shared" si="57"/>
        <v>3.8813648293963254</v>
      </c>
      <c r="O400">
        <f t="shared" si="58"/>
        <v>10154.65</v>
      </c>
      <c r="P400">
        <f t="shared" si="59"/>
        <v>-352425</v>
      </c>
      <c r="Q400">
        <f t="shared" si="60"/>
        <v>2025</v>
      </c>
      <c r="R400">
        <f t="shared" si="61"/>
        <v>3</v>
      </c>
      <c r="S400">
        <f t="shared" si="62"/>
        <v>19.97126436781609</v>
      </c>
    </row>
    <row r="401" spans="1:19" x14ac:dyDescent="0.3">
      <c r="A401" t="s">
        <v>409</v>
      </c>
      <c r="B401" s="2">
        <v>45722</v>
      </c>
      <c r="C401" t="s">
        <v>510</v>
      </c>
      <c r="D401" t="s">
        <v>517</v>
      </c>
      <c r="E401">
        <v>9782.14</v>
      </c>
      <c r="F401">
        <v>10025.67</v>
      </c>
      <c r="G401">
        <v>149220</v>
      </c>
      <c r="H401">
        <v>5688</v>
      </c>
      <c r="I401">
        <v>531</v>
      </c>
      <c r="J401">
        <v>12692.27</v>
      </c>
      <c r="K401">
        <f t="shared" si="55"/>
        <v>3.8118214716525936</v>
      </c>
      <c r="L401">
        <f t="shared" si="56"/>
        <v>1.7626002109704642</v>
      </c>
      <c r="M401">
        <f t="shared" si="54"/>
        <v>18.880734463276838</v>
      </c>
      <c r="N401">
        <f t="shared" si="57"/>
        <v>1.2659772364340738</v>
      </c>
      <c r="O401">
        <f t="shared" si="58"/>
        <v>2666.6000000000004</v>
      </c>
      <c r="P401">
        <f t="shared" si="59"/>
        <v>-1002567</v>
      </c>
      <c r="Q401">
        <f t="shared" si="60"/>
        <v>2025</v>
      </c>
      <c r="R401">
        <f t="shared" si="61"/>
        <v>3</v>
      </c>
      <c r="S401">
        <f t="shared" si="62"/>
        <v>9.3354430379746827</v>
      </c>
    </row>
    <row r="402" spans="1:19" x14ac:dyDescent="0.3">
      <c r="A402" t="s">
        <v>410</v>
      </c>
      <c r="B402" s="2">
        <v>45771</v>
      </c>
      <c r="C402" t="s">
        <v>513</v>
      </c>
      <c r="D402" t="s">
        <v>516</v>
      </c>
      <c r="E402">
        <v>8307.84</v>
      </c>
      <c r="F402">
        <v>6707.55</v>
      </c>
      <c r="G402">
        <v>128069</v>
      </c>
      <c r="H402">
        <v>2283</v>
      </c>
      <c r="I402">
        <v>270</v>
      </c>
      <c r="J402">
        <v>5579.2</v>
      </c>
      <c r="K402">
        <f t="shared" si="55"/>
        <v>1.7826327995065161</v>
      </c>
      <c r="L402">
        <f t="shared" si="56"/>
        <v>2.938042049934297</v>
      </c>
      <c r="M402">
        <f t="shared" si="54"/>
        <v>24.84277777777778</v>
      </c>
      <c r="N402">
        <f t="shared" si="57"/>
        <v>0.83177911457983911</v>
      </c>
      <c r="O402">
        <f t="shared" si="58"/>
        <v>-1128.3500000000004</v>
      </c>
      <c r="P402">
        <f t="shared" si="59"/>
        <v>-670755</v>
      </c>
      <c r="Q402">
        <f t="shared" si="60"/>
        <v>2025</v>
      </c>
      <c r="R402">
        <f t="shared" si="61"/>
        <v>4</v>
      </c>
      <c r="S402">
        <f t="shared" si="62"/>
        <v>11.826544021024969</v>
      </c>
    </row>
    <row r="403" spans="1:19" x14ac:dyDescent="0.3">
      <c r="A403" t="s">
        <v>411</v>
      </c>
      <c r="B403" s="2">
        <v>45705</v>
      </c>
      <c r="C403" t="s">
        <v>513</v>
      </c>
      <c r="D403" t="s">
        <v>515</v>
      </c>
      <c r="E403">
        <v>5265.27</v>
      </c>
      <c r="F403">
        <v>4984.07</v>
      </c>
      <c r="G403">
        <v>50640</v>
      </c>
      <c r="H403">
        <v>1609</v>
      </c>
      <c r="I403">
        <v>321</v>
      </c>
      <c r="J403">
        <v>13839.02</v>
      </c>
      <c r="K403">
        <f t="shared" si="55"/>
        <v>3.1773301737756712</v>
      </c>
      <c r="L403">
        <f t="shared" si="56"/>
        <v>3.097619639527657</v>
      </c>
      <c r="M403">
        <f t="shared" si="54"/>
        <v>15.526697819314641</v>
      </c>
      <c r="N403">
        <f t="shared" si="57"/>
        <v>2.7766504082005272</v>
      </c>
      <c r="O403">
        <f t="shared" si="58"/>
        <v>8854.9500000000007</v>
      </c>
      <c r="P403">
        <f t="shared" si="59"/>
        <v>-498407</v>
      </c>
      <c r="Q403">
        <f t="shared" si="60"/>
        <v>2025</v>
      </c>
      <c r="R403">
        <f t="shared" si="61"/>
        <v>2</v>
      </c>
      <c r="S403">
        <f t="shared" si="62"/>
        <v>19.9502796768179</v>
      </c>
    </row>
    <row r="404" spans="1:19" x14ac:dyDescent="0.3">
      <c r="A404" t="s">
        <v>412</v>
      </c>
      <c r="B404" s="2">
        <v>45802</v>
      </c>
      <c r="C404" t="s">
        <v>511</v>
      </c>
      <c r="D404" t="s">
        <v>518</v>
      </c>
      <c r="E404">
        <v>7783.07</v>
      </c>
      <c r="F404">
        <v>7267.6</v>
      </c>
      <c r="G404">
        <v>159631</v>
      </c>
      <c r="H404">
        <v>5836</v>
      </c>
      <c r="I404">
        <v>861</v>
      </c>
      <c r="J404">
        <v>24287.78</v>
      </c>
      <c r="K404">
        <f t="shared" si="55"/>
        <v>3.6559314920034329</v>
      </c>
      <c r="L404">
        <f t="shared" si="56"/>
        <v>1.2453050034270048</v>
      </c>
      <c r="M404">
        <f t="shared" si="54"/>
        <v>8.4408826945412319</v>
      </c>
      <c r="N404">
        <f t="shared" si="57"/>
        <v>3.341925807694424</v>
      </c>
      <c r="O404">
        <f t="shared" si="58"/>
        <v>17020.18</v>
      </c>
      <c r="P404">
        <f t="shared" si="59"/>
        <v>-726759.99999999988</v>
      </c>
      <c r="Q404">
        <f t="shared" si="60"/>
        <v>2025</v>
      </c>
      <c r="R404">
        <f t="shared" si="61"/>
        <v>5</v>
      </c>
      <c r="S404">
        <f t="shared" si="62"/>
        <v>14.753255654557918</v>
      </c>
    </row>
    <row r="405" spans="1:19" x14ac:dyDescent="0.3">
      <c r="A405" t="s">
        <v>413</v>
      </c>
      <c r="B405" s="2">
        <v>45652</v>
      </c>
      <c r="C405" t="s">
        <v>514</v>
      </c>
      <c r="D405" t="s">
        <v>518</v>
      </c>
      <c r="E405">
        <v>9979.8700000000008</v>
      </c>
      <c r="F405">
        <v>9259.8700000000008</v>
      </c>
      <c r="G405">
        <v>92070</v>
      </c>
      <c r="H405">
        <v>2984</v>
      </c>
      <c r="I405">
        <v>369</v>
      </c>
      <c r="J405">
        <v>12376.85</v>
      </c>
      <c r="K405">
        <f t="shared" si="55"/>
        <v>3.2410122732703375</v>
      </c>
      <c r="L405">
        <f t="shared" si="56"/>
        <v>3.1031735924932979</v>
      </c>
      <c r="M405">
        <f t="shared" si="54"/>
        <v>25.094498644986452</v>
      </c>
      <c r="N405">
        <f t="shared" si="57"/>
        <v>1.3366116370964169</v>
      </c>
      <c r="O405">
        <f t="shared" si="58"/>
        <v>3116.9799999999996</v>
      </c>
      <c r="P405">
        <f t="shared" si="59"/>
        <v>-925987.00000000012</v>
      </c>
      <c r="Q405">
        <f t="shared" si="60"/>
        <v>2024</v>
      </c>
      <c r="R405">
        <f t="shared" si="61"/>
        <v>12</v>
      </c>
      <c r="S405">
        <f t="shared" si="62"/>
        <v>12.365951742627345</v>
      </c>
    </row>
    <row r="406" spans="1:19" x14ac:dyDescent="0.3">
      <c r="A406" t="s">
        <v>414</v>
      </c>
      <c r="B406" s="2">
        <v>45818</v>
      </c>
      <c r="C406" t="s">
        <v>511</v>
      </c>
      <c r="D406" t="s">
        <v>517</v>
      </c>
      <c r="E406">
        <v>4145.37</v>
      </c>
      <c r="F406">
        <v>4304.7299999999996</v>
      </c>
      <c r="G406">
        <v>138224</v>
      </c>
      <c r="H406">
        <v>4150</v>
      </c>
      <c r="I406">
        <v>232</v>
      </c>
      <c r="J406">
        <v>9468.0300000000007</v>
      </c>
      <c r="K406">
        <f t="shared" si="55"/>
        <v>3.002372959833314</v>
      </c>
      <c r="L406">
        <f t="shared" si="56"/>
        <v>1.0372843373493974</v>
      </c>
      <c r="M406">
        <f t="shared" si="54"/>
        <v>18.554870689655171</v>
      </c>
      <c r="N406">
        <f t="shared" si="57"/>
        <v>2.1994480490065582</v>
      </c>
      <c r="O406">
        <f t="shared" si="58"/>
        <v>5163.3000000000011</v>
      </c>
      <c r="P406">
        <f t="shared" si="59"/>
        <v>-430472.99999999994</v>
      </c>
      <c r="Q406">
        <f t="shared" si="60"/>
        <v>2025</v>
      </c>
      <c r="R406">
        <f t="shared" si="61"/>
        <v>6</v>
      </c>
      <c r="S406">
        <f t="shared" si="62"/>
        <v>5.5903614457831328</v>
      </c>
    </row>
    <row r="407" spans="1:19" x14ac:dyDescent="0.3">
      <c r="A407" t="s">
        <v>415</v>
      </c>
      <c r="B407" s="2">
        <v>45696</v>
      </c>
      <c r="C407" t="s">
        <v>512</v>
      </c>
      <c r="D407" t="s">
        <v>515</v>
      </c>
      <c r="E407">
        <v>4545.3900000000003</v>
      </c>
      <c r="F407">
        <v>3748.65</v>
      </c>
      <c r="G407">
        <v>63940</v>
      </c>
      <c r="H407">
        <v>2107</v>
      </c>
      <c r="I407">
        <v>352</v>
      </c>
      <c r="J407">
        <v>14226.07</v>
      </c>
      <c r="K407">
        <f t="shared" si="55"/>
        <v>3.2952768220206443</v>
      </c>
      <c r="L407">
        <f t="shared" si="56"/>
        <v>1.779140958709065</v>
      </c>
      <c r="M407">
        <f t="shared" si="54"/>
        <v>10.649573863636364</v>
      </c>
      <c r="N407">
        <f t="shared" si="57"/>
        <v>3.7949848612167045</v>
      </c>
      <c r="O407">
        <f t="shared" si="58"/>
        <v>10477.42</v>
      </c>
      <c r="P407">
        <f t="shared" si="59"/>
        <v>-374864.99999999994</v>
      </c>
      <c r="Q407">
        <f t="shared" si="60"/>
        <v>2025</v>
      </c>
      <c r="R407">
        <f t="shared" si="61"/>
        <v>2</v>
      </c>
      <c r="S407">
        <f t="shared" si="62"/>
        <v>16.706217370669201</v>
      </c>
    </row>
    <row r="408" spans="1:19" x14ac:dyDescent="0.3">
      <c r="A408" t="s">
        <v>416</v>
      </c>
      <c r="B408" s="2">
        <v>45803</v>
      </c>
      <c r="C408" t="s">
        <v>512</v>
      </c>
      <c r="D408" t="s">
        <v>518</v>
      </c>
      <c r="E408">
        <v>7581.58</v>
      </c>
      <c r="F408">
        <v>6686.79</v>
      </c>
      <c r="G408">
        <v>192599</v>
      </c>
      <c r="H408">
        <v>7700</v>
      </c>
      <c r="I408">
        <v>1117</v>
      </c>
      <c r="J408">
        <v>54203.44</v>
      </c>
      <c r="K408">
        <f t="shared" si="55"/>
        <v>3.9979439145582276</v>
      </c>
      <c r="L408">
        <f t="shared" si="56"/>
        <v>0.86841428571428569</v>
      </c>
      <c r="M408">
        <f t="shared" si="54"/>
        <v>5.986383169203223</v>
      </c>
      <c r="N408">
        <f t="shared" si="57"/>
        <v>8.1060478944306613</v>
      </c>
      <c r="O408">
        <f t="shared" si="58"/>
        <v>47516.65</v>
      </c>
      <c r="P408">
        <f t="shared" si="59"/>
        <v>-668679.00000000012</v>
      </c>
      <c r="Q408">
        <f t="shared" si="60"/>
        <v>2025</v>
      </c>
      <c r="R408">
        <f t="shared" si="61"/>
        <v>5</v>
      </c>
      <c r="S408">
        <f t="shared" si="62"/>
        <v>14.506493506493506</v>
      </c>
    </row>
    <row r="409" spans="1:19" x14ac:dyDescent="0.3">
      <c r="A409" t="s">
        <v>417</v>
      </c>
      <c r="B409" s="2">
        <v>45800</v>
      </c>
      <c r="C409" t="s">
        <v>511</v>
      </c>
      <c r="D409" t="s">
        <v>516</v>
      </c>
      <c r="E409">
        <v>4057.41</v>
      </c>
      <c r="F409">
        <v>3772.18</v>
      </c>
      <c r="G409">
        <v>65526</v>
      </c>
      <c r="H409">
        <v>2744</v>
      </c>
      <c r="I409">
        <v>447</v>
      </c>
      <c r="J409">
        <v>21593.89</v>
      </c>
      <c r="K409">
        <f t="shared" si="55"/>
        <v>4.1876507035375274</v>
      </c>
      <c r="L409">
        <f t="shared" si="56"/>
        <v>1.374701166180758</v>
      </c>
      <c r="M409">
        <f t="shared" si="54"/>
        <v>8.4388814317673368</v>
      </c>
      <c r="N409">
        <f t="shared" si="57"/>
        <v>5.7245120858495619</v>
      </c>
      <c r="O409">
        <f t="shared" si="58"/>
        <v>17821.71</v>
      </c>
      <c r="P409">
        <f t="shared" si="59"/>
        <v>-377218</v>
      </c>
      <c r="Q409">
        <f t="shared" si="60"/>
        <v>2025</v>
      </c>
      <c r="R409">
        <f t="shared" si="61"/>
        <v>5</v>
      </c>
      <c r="S409">
        <f t="shared" si="62"/>
        <v>16.290087463556851</v>
      </c>
    </row>
    <row r="410" spans="1:19" x14ac:dyDescent="0.3">
      <c r="A410" t="s">
        <v>418</v>
      </c>
      <c r="B410" s="2">
        <v>45754</v>
      </c>
      <c r="C410" t="s">
        <v>510</v>
      </c>
      <c r="D410" t="s">
        <v>515</v>
      </c>
      <c r="E410">
        <v>5938.09</v>
      </c>
      <c r="F410">
        <v>5887.96</v>
      </c>
      <c r="G410">
        <v>149688</v>
      </c>
      <c r="H410">
        <v>5146</v>
      </c>
      <c r="I410">
        <v>512</v>
      </c>
      <c r="J410">
        <v>16347.05</v>
      </c>
      <c r="K410">
        <f t="shared" si="55"/>
        <v>3.4378173267062153</v>
      </c>
      <c r="L410">
        <f t="shared" si="56"/>
        <v>1.1441818888457054</v>
      </c>
      <c r="M410">
        <f t="shared" si="54"/>
        <v>11.499921875</v>
      </c>
      <c r="N410">
        <f t="shared" si="57"/>
        <v>2.7763520811962037</v>
      </c>
      <c r="O410">
        <f t="shared" si="58"/>
        <v>10459.09</v>
      </c>
      <c r="P410">
        <f t="shared" si="59"/>
        <v>-588795.99999999988</v>
      </c>
      <c r="Q410">
        <f t="shared" si="60"/>
        <v>2025</v>
      </c>
      <c r="R410">
        <f t="shared" si="61"/>
        <v>4</v>
      </c>
      <c r="S410">
        <f t="shared" si="62"/>
        <v>9.9494753206373883</v>
      </c>
    </row>
    <row r="411" spans="1:19" x14ac:dyDescent="0.3">
      <c r="A411" t="s">
        <v>419</v>
      </c>
      <c r="B411" s="2">
        <v>45675</v>
      </c>
      <c r="C411" t="s">
        <v>510</v>
      </c>
      <c r="D411" t="s">
        <v>517</v>
      </c>
      <c r="E411">
        <v>4919.51</v>
      </c>
      <c r="F411">
        <v>5387.81</v>
      </c>
      <c r="G411">
        <v>118998</v>
      </c>
      <c r="H411">
        <v>1453</v>
      </c>
      <c r="I411">
        <v>106</v>
      </c>
      <c r="J411">
        <v>3421.68</v>
      </c>
      <c r="K411">
        <f t="shared" si="55"/>
        <v>1.2210289248558799</v>
      </c>
      <c r="L411">
        <f t="shared" si="56"/>
        <v>3.7080591878871303</v>
      </c>
      <c r="M411">
        <f t="shared" si="54"/>
        <v>50.828396226415101</v>
      </c>
      <c r="N411">
        <f t="shared" si="57"/>
        <v>0.6350780743938631</v>
      </c>
      <c r="O411">
        <f t="shared" si="58"/>
        <v>-1966.1300000000006</v>
      </c>
      <c r="P411">
        <f t="shared" si="59"/>
        <v>-538781</v>
      </c>
      <c r="Q411">
        <f t="shared" si="60"/>
        <v>2025</v>
      </c>
      <c r="R411">
        <f t="shared" si="61"/>
        <v>1</v>
      </c>
      <c r="S411">
        <f t="shared" si="62"/>
        <v>7.2952512044046802</v>
      </c>
    </row>
    <row r="412" spans="1:19" x14ac:dyDescent="0.3">
      <c r="A412" t="s">
        <v>420</v>
      </c>
      <c r="B412" s="2">
        <v>45687</v>
      </c>
      <c r="C412" t="s">
        <v>511</v>
      </c>
      <c r="D412" t="s">
        <v>515</v>
      </c>
      <c r="E412">
        <v>9258.69</v>
      </c>
      <c r="F412">
        <v>8045.68</v>
      </c>
      <c r="G412">
        <v>115280</v>
      </c>
      <c r="H412">
        <v>3264</v>
      </c>
      <c r="I412">
        <v>281</v>
      </c>
      <c r="J412">
        <v>7416.47</v>
      </c>
      <c r="K412">
        <f t="shared" si="55"/>
        <v>2.8313671061762666</v>
      </c>
      <c r="L412">
        <f t="shared" si="56"/>
        <v>2.4649754901960783</v>
      </c>
      <c r="M412">
        <f t="shared" si="54"/>
        <v>28.632313167259788</v>
      </c>
      <c r="N412">
        <f t="shared" si="57"/>
        <v>0.92179529884360301</v>
      </c>
      <c r="O412">
        <f t="shared" si="58"/>
        <v>-629.21</v>
      </c>
      <c r="P412">
        <f t="shared" si="59"/>
        <v>-804568</v>
      </c>
      <c r="Q412">
        <f t="shared" si="60"/>
        <v>2025</v>
      </c>
      <c r="R412">
        <f t="shared" si="61"/>
        <v>1</v>
      </c>
      <c r="S412">
        <f t="shared" si="62"/>
        <v>8.6090686274509807</v>
      </c>
    </row>
    <row r="413" spans="1:19" x14ac:dyDescent="0.3">
      <c r="A413" t="s">
        <v>421</v>
      </c>
      <c r="B413" s="2">
        <v>45727</v>
      </c>
      <c r="C413" t="s">
        <v>514</v>
      </c>
      <c r="D413" t="s">
        <v>515</v>
      </c>
      <c r="E413">
        <v>3217.94</v>
      </c>
      <c r="F413">
        <v>3203.46</v>
      </c>
      <c r="G413">
        <v>129278</v>
      </c>
      <c r="H413">
        <v>5246</v>
      </c>
      <c r="I413">
        <v>346</v>
      </c>
      <c r="J413">
        <v>10745.3</v>
      </c>
      <c r="K413">
        <f t="shared" si="55"/>
        <v>4.057921688144928</v>
      </c>
      <c r="L413">
        <f t="shared" si="56"/>
        <v>0.61064811284788412</v>
      </c>
      <c r="M413">
        <f t="shared" si="54"/>
        <v>9.2585549132947982</v>
      </c>
      <c r="N413">
        <f t="shared" si="57"/>
        <v>3.3542794353605161</v>
      </c>
      <c r="O413">
        <f t="shared" si="58"/>
        <v>7541.8399999999992</v>
      </c>
      <c r="P413">
        <f t="shared" si="59"/>
        <v>-320346</v>
      </c>
      <c r="Q413">
        <f t="shared" si="60"/>
        <v>2025</v>
      </c>
      <c r="R413">
        <f t="shared" si="61"/>
        <v>3</v>
      </c>
      <c r="S413">
        <f t="shared" si="62"/>
        <v>6.5955013343499802</v>
      </c>
    </row>
    <row r="414" spans="1:19" x14ac:dyDescent="0.3">
      <c r="A414" t="s">
        <v>422</v>
      </c>
      <c r="B414" s="2">
        <v>45796</v>
      </c>
      <c r="C414" t="s">
        <v>512</v>
      </c>
      <c r="D414" t="s">
        <v>516</v>
      </c>
      <c r="E414">
        <v>9050.51</v>
      </c>
      <c r="F414">
        <v>8525.25</v>
      </c>
      <c r="G414">
        <v>113951</v>
      </c>
      <c r="H414">
        <v>4911</v>
      </c>
      <c r="I414">
        <v>623</v>
      </c>
      <c r="J414">
        <v>30555.54</v>
      </c>
      <c r="K414">
        <f t="shared" si="55"/>
        <v>4.3097471720300833</v>
      </c>
      <c r="L414">
        <f t="shared" si="56"/>
        <v>1.7359499083689676</v>
      </c>
      <c r="M414">
        <f t="shared" si="54"/>
        <v>13.684189406099518</v>
      </c>
      <c r="N414">
        <f t="shared" si="57"/>
        <v>3.5841224597519137</v>
      </c>
      <c r="O414">
        <f t="shared" si="58"/>
        <v>22030.29</v>
      </c>
      <c r="P414">
        <f t="shared" si="59"/>
        <v>-852525</v>
      </c>
      <c r="Q414">
        <f t="shared" si="60"/>
        <v>2025</v>
      </c>
      <c r="R414">
        <f t="shared" si="61"/>
        <v>5</v>
      </c>
      <c r="S414">
        <f t="shared" si="62"/>
        <v>12.685807371207494</v>
      </c>
    </row>
    <row r="415" spans="1:19" x14ac:dyDescent="0.3">
      <c r="A415" t="s">
        <v>423</v>
      </c>
      <c r="B415" s="2">
        <v>45709</v>
      </c>
      <c r="C415" t="s">
        <v>513</v>
      </c>
      <c r="D415" t="s">
        <v>515</v>
      </c>
      <c r="E415">
        <v>4298.68</v>
      </c>
      <c r="F415">
        <v>4559.12</v>
      </c>
      <c r="G415">
        <v>160215</v>
      </c>
      <c r="H415">
        <v>4360</v>
      </c>
      <c r="I415">
        <v>734</v>
      </c>
      <c r="J415">
        <v>31780.66</v>
      </c>
      <c r="K415">
        <f t="shared" si="55"/>
        <v>2.7213431950816092</v>
      </c>
      <c r="L415">
        <f t="shared" si="56"/>
        <v>1.0456697247706421</v>
      </c>
      <c r="M415">
        <f t="shared" si="54"/>
        <v>6.2113351498637597</v>
      </c>
      <c r="N415">
        <f t="shared" si="57"/>
        <v>6.9707882222885118</v>
      </c>
      <c r="O415">
        <f t="shared" si="58"/>
        <v>27221.54</v>
      </c>
      <c r="P415">
        <f t="shared" si="59"/>
        <v>-455911.99999999988</v>
      </c>
      <c r="Q415">
        <f t="shared" si="60"/>
        <v>2025</v>
      </c>
      <c r="R415">
        <f t="shared" si="61"/>
        <v>2</v>
      </c>
      <c r="S415">
        <f t="shared" si="62"/>
        <v>16.834862385321099</v>
      </c>
    </row>
    <row r="416" spans="1:19" x14ac:dyDescent="0.3">
      <c r="A416" t="s">
        <v>424</v>
      </c>
      <c r="B416" s="2">
        <v>45793</v>
      </c>
      <c r="C416" t="s">
        <v>514</v>
      </c>
      <c r="D416" t="s">
        <v>516</v>
      </c>
      <c r="E416">
        <v>8396.4500000000007</v>
      </c>
      <c r="F416">
        <v>8845.11</v>
      </c>
      <c r="G416">
        <v>176532</v>
      </c>
      <c r="H416">
        <v>2317</v>
      </c>
      <c r="I416">
        <v>156</v>
      </c>
      <c r="J416">
        <v>6681.59</v>
      </c>
      <c r="K416">
        <f t="shared" si="55"/>
        <v>1.3125099132168672</v>
      </c>
      <c r="L416">
        <f t="shared" si="56"/>
        <v>3.8174838152783774</v>
      </c>
      <c r="M416">
        <f t="shared" si="54"/>
        <v>56.699423076923082</v>
      </c>
      <c r="N416">
        <f t="shared" si="57"/>
        <v>0.75539931103174518</v>
      </c>
      <c r="O416">
        <f t="shared" si="58"/>
        <v>-2163.5200000000004</v>
      </c>
      <c r="P416">
        <f t="shared" si="59"/>
        <v>-884511</v>
      </c>
      <c r="Q416">
        <f t="shared" si="60"/>
        <v>2025</v>
      </c>
      <c r="R416">
        <f t="shared" si="61"/>
        <v>5</v>
      </c>
      <c r="S416">
        <f t="shared" si="62"/>
        <v>6.7328441950798439</v>
      </c>
    </row>
    <row r="417" spans="1:19" x14ac:dyDescent="0.3">
      <c r="A417" t="s">
        <v>425</v>
      </c>
      <c r="B417" s="2">
        <v>45763</v>
      </c>
      <c r="C417" t="s">
        <v>513</v>
      </c>
      <c r="D417" t="s">
        <v>517</v>
      </c>
      <c r="E417">
        <v>7383.54</v>
      </c>
      <c r="F417">
        <v>6197.55</v>
      </c>
      <c r="G417">
        <v>93893</v>
      </c>
      <c r="H417">
        <v>3140</v>
      </c>
      <c r="I417">
        <v>208</v>
      </c>
      <c r="J417">
        <v>4362.96</v>
      </c>
      <c r="K417">
        <f t="shared" si="55"/>
        <v>3.3442322643860565</v>
      </c>
      <c r="L417">
        <f t="shared" si="56"/>
        <v>1.9737420382165605</v>
      </c>
      <c r="M417">
        <f t="shared" si="54"/>
        <v>29.795913461538461</v>
      </c>
      <c r="N417">
        <f t="shared" si="57"/>
        <v>0.70398141200958442</v>
      </c>
      <c r="O417">
        <f t="shared" si="58"/>
        <v>-1834.5900000000001</v>
      </c>
      <c r="P417">
        <f t="shared" si="59"/>
        <v>-619755</v>
      </c>
      <c r="Q417">
        <f t="shared" si="60"/>
        <v>2025</v>
      </c>
      <c r="R417">
        <f t="shared" si="61"/>
        <v>4</v>
      </c>
      <c r="S417">
        <f t="shared" si="62"/>
        <v>6.6242038216560513</v>
      </c>
    </row>
    <row r="418" spans="1:19" x14ac:dyDescent="0.3">
      <c r="A418" t="s">
        <v>426</v>
      </c>
      <c r="B418" s="2">
        <v>45748</v>
      </c>
      <c r="C418" t="s">
        <v>513</v>
      </c>
      <c r="D418" t="s">
        <v>518</v>
      </c>
      <c r="E418">
        <v>9445.93</v>
      </c>
      <c r="F418">
        <v>9304.19</v>
      </c>
      <c r="G418">
        <v>70743</v>
      </c>
      <c r="H418">
        <v>1210</v>
      </c>
      <c r="I418">
        <v>52</v>
      </c>
      <c r="J418">
        <v>2282.6</v>
      </c>
      <c r="K418">
        <f t="shared" si="55"/>
        <v>1.7104165783187031</v>
      </c>
      <c r="L418">
        <f t="shared" si="56"/>
        <v>7.6894132231404964</v>
      </c>
      <c r="M418">
        <f t="shared" si="54"/>
        <v>178.92673076923077</v>
      </c>
      <c r="N418">
        <f t="shared" si="57"/>
        <v>0.24533032966867613</v>
      </c>
      <c r="O418">
        <f t="shared" si="58"/>
        <v>-7021.59</v>
      </c>
      <c r="P418">
        <f t="shared" si="59"/>
        <v>-930419</v>
      </c>
      <c r="Q418">
        <f t="shared" si="60"/>
        <v>2025</v>
      </c>
      <c r="R418">
        <f t="shared" si="61"/>
        <v>4</v>
      </c>
      <c r="S418">
        <f t="shared" si="62"/>
        <v>4.2975206611570247</v>
      </c>
    </row>
    <row r="419" spans="1:19" x14ac:dyDescent="0.3">
      <c r="A419" t="s">
        <v>427</v>
      </c>
      <c r="B419" s="2">
        <v>45690</v>
      </c>
      <c r="C419" t="s">
        <v>514</v>
      </c>
      <c r="D419" t="s">
        <v>516</v>
      </c>
      <c r="E419">
        <v>6370.66</v>
      </c>
      <c r="F419">
        <v>5320.73</v>
      </c>
      <c r="G419">
        <v>84061</v>
      </c>
      <c r="H419">
        <v>1539</v>
      </c>
      <c r="I419">
        <v>177</v>
      </c>
      <c r="J419">
        <v>4204.74</v>
      </c>
      <c r="K419">
        <f t="shared" si="55"/>
        <v>1.8308133379331675</v>
      </c>
      <c r="L419">
        <f t="shared" si="56"/>
        <v>3.4572644574398956</v>
      </c>
      <c r="M419">
        <f t="shared" si="54"/>
        <v>30.060621468926552</v>
      </c>
      <c r="N419">
        <f t="shared" si="57"/>
        <v>0.79025622423990693</v>
      </c>
      <c r="O419">
        <f t="shared" si="58"/>
        <v>-1115.9899999999998</v>
      </c>
      <c r="P419">
        <f t="shared" si="59"/>
        <v>-532073</v>
      </c>
      <c r="Q419">
        <f t="shared" si="60"/>
        <v>2025</v>
      </c>
      <c r="R419">
        <f t="shared" si="61"/>
        <v>2</v>
      </c>
      <c r="S419">
        <f t="shared" si="62"/>
        <v>11.500974658869396</v>
      </c>
    </row>
    <row r="420" spans="1:19" x14ac:dyDescent="0.3">
      <c r="A420" t="s">
        <v>428</v>
      </c>
      <c r="B420" s="2">
        <v>45744</v>
      </c>
      <c r="C420" t="s">
        <v>511</v>
      </c>
      <c r="D420" t="s">
        <v>517</v>
      </c>
      <c r="E420">
        <v>7798.96</v>
      </c>
      <c r="F420">
        <v>7245.95</v>
      </c>
      <c r="G420">
        <v>108436</v>
      </c>
      <c r="H420">
        <v>3545</v>
      </c>
      <c r="I420">
        <v>81</v>
      </c>
      <c r="J420">
        <v>2107.2800000000002</v>
      </c>
      <c r="K420">
        <f t="shared" si="55"/>
        <v>3.2692094876240363</v>
      </c>
      <c r="L420">
        <f t="shared" si="56"/>
        <v>2.0439915373765869</v>
      </c>
      <c r="M420">
        <f t="shared" si="54"/>
        <v>89.456172839506166</v>
      </c>
      <c r="N420">
        <f t="shared" si="57"/>
        <v>0.29082176940221782</v>
      </c>
      <c r="O420">
        <f t="shared" si="58"/>
        <v>-5138.67</v>
      </c>
      <c r="P420">
        <f t="shared" si="59"/>
        <v>-724595.00000000012</v>
      </c>
      <c r="Q420">
        <f t="shared" si="60"/>
        <v>2025</v>
      </c>
      <c r="R420">
        <f t="shared" si="61"/>
        <v>3</v>
      </c>
      <c r="S420">
        <f t="shared" si="62"/>
        <v>2.2849083215796897</v>
      </c>
    </row>
    <row r="421" spans="1:19" x14ac:dyDescent="0.3">
      <c r="A421" t="s">
        <v>429</v>
      </c>
      <c r="B421" s="2">
        <v>45688</v>
      </c>
      <c r="C421" t="s">
        <v>513</v>
      </c>
      <c r="D421" t="s">
        <v>517</v>
      </c>
      <c r="E421">
        <v>6441.16</v>
      </c>
      <c r="F421">
        <v>5277</v>
      </c>
      <c r="G421">
        <v>143676</v>
      </c>
      <c r="H421">
        <v>6117</v>
      </c>
      <c r="I421">
        <v>461</v>
      </c>
      <c r="J421">
        <v>17268.66</v>
      </c>
      <c r="K421">
        <f t="shared" si="55"/>
        <v>4.2574960327403319</v>
      </c>
      <c r="L421">
        <f t="shared" si="56"/>
        <v>0.86267778322707211</v>
      </c>
      <c r="M421">
        <f t="shared" si="54"/>
        <v>11.446854663774403</v>
      </c>
      <c r="N421">
        <f t="shared" si="57"/>
        <v>3.2724388857305287</v>
      </c>
      <c r="O421">
        <f t="shared" si="58"/>
        <v>11991.66</v>
      </c>
      <c r="P421">
        <f t="shared" si="59"/>
        <v>-527700</v>
      </c>
      <c r="Q421">
        <f t="shared" si="60"/>
        <v>2025</v>
      </c>
      <c r="R421">
        <f t="shared" si="61"/>
        <v>1</v>
      </c>
      <c r="S421">
        <f t="shared" si="62"/>
        <v>7.5363740395618777</v>
      </c>
    </row>
    <row r="422" spans="1:19" x14ac:dyDescent="0.3">
      <c r="A422" t="s">
        <v>430</v>
      </c>
      <c r="B422" s="2">
        <v>45763</v>
      </c>
      <c r="C422" t="s">
        <v>512</v>
      </c>
      <c r="D422" t="s">
        <v>518</v>
      </c>
      <c r="E422">
        <v>4882.95</v>
      </c>
      <c r="F422">
        <v>5074.6899999999996</v>
      </c>
      <c r="G422">
        <v>76424</v>
      </c>
      <c r="H422">
        <v>1044</v>
      </c>
      <c r="I422">
        <v>91</v>
      </c>
      <c r="J422">
        <v>2667.29</v>
      </c>
      <c r="K422">
        <f t="shared" si="55"/>
        <v>1.3660630168533445</v>
      </c>
      <c r="L422">
        <f t="shared" si="56"/>
        <v>4.8608141762452099</v>
      </c>
      <c r="M422">
        <f t="shared" si="54"/>
        <v>55.765824175824172</v>
      </c>
      <c r="N422">
        <f t="shared" si="57"/>
        <v>0.52560649024866546</v>
      </c>
      <c r="O422">
        <f t="shared" si="58"/>
        <v>-2407.3999999999996</v>
      </c>
      <c r="P422">
        <f t="shared" si="59"/>
        <v>-507468.99999999994</v>
      </c>
      <c r="Q422">
        <f t="shared" si="60"/>
        <v>2025</v>
      </c>
      <c r="R422">
        <f t="shared" si="61"/>
        <v>4</v>
      </c>
      <c r="S422">
        <f t="shared" si="62"/>
        <v>8.7164750957854409</v>
      </c>
    </row>
    <row r="423" spans="1:19" x14ac:dyDescent="0.3">
      <c r="A423" t="s">
        <v>431</v>
      </c>
      <c r="B423" s="2">
        <v>45675</v>
      </c>
      <c r="C423" t="s">
        <v>512</v>
      </c>
      <c r="D423" t="s">
        <v>515</v>
      </c>
      <c r="E423">
        <v>6186.54</v>
      </c>
      <c r="F423">
        <v>4970.8</v>
      </c>
      <c r="G423">
        <v>131046</v>
      </c>
      <c r="H423">
        <v>6398</v>
      </c>
      <c r="I423">
        <v>1049</v>
      </c>
      <c r="J423">
        <v>23259.9</v>
      </c>
      <c r="K423">
        <f t="shared" si="55"/>
        <v>4.8822550860003355</v>
      </c>
      <c r="L423">
        <f t="shared" si="56"/>
        <v>0.77693029071584874</v>
      </c>
      <c r="M423">
        <f t="shared" si="54"/>
        <v>4.73860819828408</v>
      </c>
      <c r="N423">
        <f t="shared" si="57"/>
        <v>4.6793071537780637</v>
      </c>
      <c r="O423">
        <f t="shared" si="58"/>
        <v>18289.100000000002</v>
      </c>
      <c r="P423">
        <f t="shared" si="59"/>
        <v>-497079.99999999994</v>
      </c>
      <c r="Q423">
        <f t="shared" si="60"/>
        <v>2025</v>
      </c>
      <c r="R423">
        <f t="shared" si="61"/>
        <v>1</v>
      </c>
      <c r="S423">
        <f t="shared" si="62"/>
        <v>16.395748671459831</v>
      </c>
    </row>
    <row r="424" spans="1:19" x14ac:dyDescent="0.3">
      <c r="A424" t="s">
        <v>432</v>
      </c>
      <c r="B424" s="2">
        <v>45795</v>
      </c>
      <c r="C424" t="s">
        <v>514</v>
      </c>
      <c r="D424" t="s">
        <v>515</v>
      </c>
      <c r="E424">
        <v>5747.45</v>
      </c>
      <c r="F424">
        <v>5425.49</v>
      </c>
      <c r="G424">
        <v>69001</v>
      </c>
      <c r="H424">
        <v>2029</v>
      </c>
      <c r="I424">
        <v>320</v>
      </c>
      <c r="J424">
        <v>12160.2</v>
      </c>
      <c r="K424">
        <f t="shared" si="55"/>
        <v>2.9405370936653092</v>
      </c>
      <c r="L424">
        <f t="shared" si="56"/>
        <v>2.6739724001971412</v>
      </c>
      <c r="M424">
        <f t="shared" si="54"/>
        <v>16.954656249999999</v>
      </c>
      <c r="N424">
        <f t="shared" si="57"/>
        <v>2.241309079917206</v>
      </c>
      <c r="O424">
        <f t="shared" si="58"/>
        <v>6734.7100000000009</v>
      </c>
      <c r="P424">
        <f t="shared" si="59"/>
        <v>-542549</v>
      </c>
      <c r="Q424">
        <f t="shared" si="60"/>
        <v>2025</v>
      </c>
      <c r="R424">
        <f t="shared" si="61"/>
        <v>5</v>
      </c>
      <c r="S424">
        <f t="shared" si="62"/>
        <v>15.771315919172006</v>
      </c>
    </row>
    <row r="425" spans="1:19" x14ac:dyDescent="0.3">
      <c r="A425" t="s">
        <v>433</v>
      </c>
      <c r="B425" s="2">
        <v>45682</v>
      </c>
      <c r="C425" t="s">
        <v>510</v>
      </c>
      <c r="D425" t="s">
        <v>518</v>
      </c>
      <c r="E425">
        <v>5041.6400000000003</v>
      </c>
      <c r="F425">
        <v>5084.47</v>
      </c>
      <c r="G425">
        <v>179928</v>
      </c>
      <c r="H425">
        <v>5522</v>
      </c>
      <c r="I425">
        <v>900</v>
      </c>
      <c r="J425">
        <v>41223.300000000003</v>
      </c>
      <c r="K425">
        <f t="shared" si="55"/>
        <v>3.0690053799297496</v>
      </c>
      <c r="L425">
        <f t="shared" si="56"/>
        <v>0.92076602680188346</v>
      </c>
      <c r="M425">
        <f t="shared" si="54"/>
        <v>5.6494111111111112</v>
      </c>
      <c r="N425">
        <f t="shared" si="57"/>
        <v>8.1076887069842094</v>
      </c>
      <c r="O425">
        <f t="shared" si="58"/>
        <v>36138.83</v>
      </c>
      <c r="P425">
        <f t="shared" si="59"/>
        <v>-508447.00000000012</v>
      </c>
      <c r="Q425">
        <f t="shared" si="60"/>
        <v>2025</v>
      </c>
      <c r="R425">
        <f t="shared" si="61"/>
        <v>1</v>
      </c>
      <c r="S425">
        <f t="shared" si="62"/>
        <v>16.29844259326331</v>
      </c>
    </row>
    <row r="426" spans="1:19" x14ac:dyDescent="0.3">
      <c r="A426" t="s">
        <v>434</v>
      </c>
      <c r="B426" s="2">
        <v>45714</v>
      </c>
      <c r="C426" t="s">
        <v>514</v>
      </c>
      <c r="D426" t="s">
        <v>516</v>
      </c>
      <c r="E426">
        <v>8458.9599999999991</v>
      </c>
      <c r="F426">
        <v>6867.71</v>
      </c>
      <c r="G426">
        <v>151737</v>
      </c>
      <c r="H426">
        <v>6324</v>
      </c>
      <c r="I426">
        <v>1140</v>
      </c>
      <c r="J426">
        <v>39233.339999999997</v>
      </c>
      <c r="K426">
        <f t="shared" si="55"/>
        <v>4.1677375986081175</v>
      </c>
      <c r="L426">
        <f t="shared" si="56"/>
        <v>1.0859756483238456</v>
      </c>
      <c r="M426">
        <f t="shared" si="54"/>
        <v>6.02430701754386</v>
      </c>
      <c r="N426">
        <f t="shared" si="57"/>
        <v>5.7127252024328339</v>
      </c>
      <c r="O426">
        <f t="shared" si="58"/>
        <v>32365.629999999997</v>
      </c>
      <c r="P426">
        <f t="shared" si="59"/>
        <v>-686770.99999999988</v>
      </c>
      <c r="Q426">
        <f t="shared" si="60"/>
        <v>2025</v>
      </c>
      <c r="R426">
        <f t="shared" si="61"/>
        <v>2</v>
      </c>
      <c r="S426">
        <f t="shared" si="62"/>
        <v>18.026565464895636</v>
      </c>
    </row>
    <row r="427" spans="1:19" x14ac:dyDescent="0.3">
      <c r="A427" t="s">
        <v>435</v>
      </c>
      <c r="B427" s="2">
        <v>45672</v>
      </c>
      <c r="C427" t="s">
        <v>512</v>
      </c>
      <c r="D427" t="s">
        <v>515</v>
      </c>
      <c r="E427">
        <v>3734.51</v>
      </c>
      <c r="F427">
        <v>3258.78</v>
      </c>
      <c r="G427">
        <v>188031</v>
      </c>
      <c r="H427">
        <v>2257</v>
      </c>
      <c r="I427">
        <v>398</v>
      </c>
      <c r="J427">
        <v>19740.75</v>
      </c>
      <c r="K427">
        <f t="shared" si="55"/>
        <v>1.2003339874807877</v>
      </c>
      <c r="L427">
        <f t="shared" si="56"/>
        <v>1.4438546743464777</v>
      </c>
      <c r="M427">
        <f t="shared" si="54"/>
        <v>8.1878894472361807</v>
      </c>
      <c r="N427">
        <f t="shared" si="57"/>
        <v>6.0577117817097195</v>
      </c>
      <c r="O427">
        <f t="shared" si="58"/>
        <v>16481.97</v>
      </c>
      <c r="P427">
        <f t="shared" si="59"/>
        <v>-325877.99999999988</v>
      </c>
      <c r="Q427">
        <f t="shared" si="60"/>
        <v>2025</v>
      </c>
      <c r="R427">
        <f t="shared" si="61"/>
        <v>1</v>
      </c>
      <c r="S427">
        <f t="shared" si="62"/>
        <v>17.634027470093045</v>
      </c>
    </row>
    <row r="428" spans="1:19" x14ac:dyDescent="0.3">
      <c r="A428" t="s">
        <v>436</v>
      </c>
      <c r="B428" s="2">
        <v>45759</v>
      </c>
      <c r="C428" t="s">
        <v>510</v>
      </c>
      <c r="D428" t="s">
        <v>516</v>
      </c>
      <c r="E428">
        <v>3997.47</v>
      </c>
      <c r="F428">
        <v>3796.26</v>
      </c>
      <c r="G428">
        <v>55760</v>
      </c>
      <c r="H428">
        <v>2026</v>
      </c>
      <c r="I428">
        <v>179</v>
      </c>
      <c r="J428">
        <v>6899.5</v>
      </c>
      <c r="K428">
        <f t="shared" si="55"/>
        <v>3.6334289813486369</v>
      </c>
      <c r="L428">
        <f t="shared" si="56"/>
        <v>1.873770977295163</v>
      </c>
      <c r="M428">
        <f t="shared" si="54"/>
        <v>21.208156424581006</v>
      </c>
      <c r="N428">
        <f t="shared" si="57"/>
        <v>1.8174466448557263</v>
      </c>
      <c r="O428">
        <f t="shared" si="58"/>
        <v>3103.24</v>
      </c>
      <c r="P428">
        <f t="shared" si="59"/>
        <v>-379626</v>
      </c>
      <c r="Q428">
        <f t="shared" si="60"/>
        <v>2025</v>
      </c>
      <c r="R428">
        <f t="shared" si="61"/>
        <v>4</v>
      </c>
      <c r="S428">
        <f t="shared" si="62"/>
        <v>8.8351431391905244</v>
      </c>
    </row>
    <row r="429" spans="1:19" x14ac:dyDescent="0.3">
      <c r="A429" t="s">
        <v>437</v>
      </c>
      <c r="B429" s="2">
        <v>45799</v>
      </c>
      <c r="C429" t="s">
        <v>514</v>
      </c>
      <c r="D429" t="s">
        <v>515</v>
      </c>
      <c r="E429">
        <v>7917.25</v>
      </c>
      <c r="F429">
        <v>7663.06</v>
      </c>
      <c r="G429">
        <v>94851</v>
      </c>
      <c r="H429">
        <v>2639</v>
      </c>
      <c r="I429">
        <v>396</v>
      </c>
      <c r="J429">
        <v>8036.08</v>
      </c>
      <c r="K429">
        <f t="shared" si="55"/>
        <v>2.7822584896311056</v>
      </c>
      <c r="L429">
        <f t="shared" si="56"/>
        <v>2.9037741568776054</v>
      </c>
      <c r="M429">
        <f t="shared" si="54"/>
        <v>19.351161616161619</v>
      </c>
      <c r="N429">
        <f t="shared" si="57"/>
        <v>1.0486776822835786</v>
      </c>
      <c r="O429">
        <f t="shared" si="58"/>
        <v>373.01999999999953</v>
      </c>
      <c r="P429">
        <f t="shared" si="59"/>
        <v>-766306</v>
      </c>
      <c r="Q429">
        <f t="shared" si="60"/>
        <v>2025</v>
      </c>
      <c r="R429">
        <f t="shared" si="61"/>
        <v>5</v>
      </c>
      <c r="S429">
        <f t="shared" si="62"/>
        <v>15.005683971201211</v>
      </c>
    </row>
    <row r="430" spans="1:19" x14ac:dyDescent="0.3">
      <c r="A430" t="s">
        <v>438</v>
      </c>
      <c r="B430" s="2">
        <v>45804</v>
      </c>
      <c r="C430" t="s">
        <v>511</v>
      </c>
      <c r="D430" t="s">
        <v>516</v>
      </c>
      <c r="E430">
        <v>5285.23</v>
      </c>
      <c r="F430">
        <v>5049.05</v>
      </c>
      <c r="G430">
        <v>134423</v>
      </c>
      <c r="H430">
        <v>2548</v>
      </c>
      <c r="I430">
        <v>363</v>
      </c>
      <c r="J430">
        <v>8216.8700000000008</v>
      </c>
      <c r="K430">
        <f t="shared" si="55"/>
        <v>1.8955089530809461</v>
      </c>
      <c r="L430">
        <f t="shared" si="56"/>
        <v>1.9815737833594977</v>
      </c>
      <c r="M430">
        <f t="shared" si="54"/>
        <v>13.909228650137742</v>
      </c>
      <c r="N430">
        <f t="shared" si="57"/>
        <v>1.6274091165664828</v>
      </c>
      <c r="O430">
        <f t="shared" si="58"/>
        <v>3167.8200000000006</v>
      </c>
      <c r="P430">
        <f t="shared" si="59"/>
        <v>-504905</v>
      </c>
      <c r="Q430">
        <f t="shared" si="60"/>
        <v>2025</v>
      </c>
      <c r="R430">
        <f t="shared" si="61"/>
        <v>5</v>
      </c>
      <c r="S430">
        <f t="shared" si="62"/>
        <v>14.246467817896388</v>
      </c>
    </row>
    <row r="431" spans="1:19" x14ac:dyDescent="0.3">
      <c r="A431" t="s">
        <v>439</v>
      </c>
      <c r="B431" s="2">
        <v>45713</v>
      </c>
      <c r="C431" t="s">
        <v>513</v>
      </c>
      <c r="D431" t="s">
        <v>517</v>
      </c>
      <c r="E431">
        <v>5454.39</v>
      </c>
      <c r="F431">
        <v>4417.84</v>
      </c>
      <c r="G431">
        <v>111462</v>
      </c>
      <c r="H431">
        <v>5187</v>
      </c>
      <c r="I431">
        <v>280</v>
      </c>
      <c r="J431">
        <v>6260.06</v>
      </c>
      <c r="K431">
        <f t="shared" si="55"/>
        <v>4.653603918824353</v>
      </c>
      <c r="L431">
        <f t="shared" si="56"/>
        <v>0.85171390013495274</v>
      </c>
      <c r="M431">
        <f t="shared" si="54"/>
        <v>15.778</v>
      </c>
      <c r="N431">
        <f t="shared" si="57"/>
        <v>1.416995635876356</v>
      </c>
      <c r="O431">
        <f t="shared" si="58"/>
        <v>1842.2200000000003</v>
      </c>
      <c r="P431">
        <f t="shared" si="59"/>
        <v>-441784</v>
      </c>
      <c r="Q431">
        <f t="shared" si="60"/>
        <v>2025</v>
      </c>
      <c r="R431">
        <f t="shared" si="61"/>
        <v>2</v>
      </c>
      <c r="S431">
        <f t="shared" si="62"/>
        <v>5.3981106612685563</v>
      </c>
    </row>
    <row r="432" spans="1:19" x14ac:dyDescent="0.3">
      <c r="A432" t="s">
        <v>440</v>
      </c>
      <c r="B432" s="2">
        <v>45697</v>
      </c>
      <c r="C432" t="s">
        <v>512</v>
      </c>
      <c r="D432" t="s">
        <v>516</v>
      </c>
      <c r="E432">
        <v>5778.46</v>
      </c>
      <c r="F432">
        <v>4852.84</v>
      </c>
      <c r="G432">
        <v>102748</v>
      </c>
      <c r="H432">
        <v>1293</v>
      </c>
      <c r="I432">
        <v>60</v>
      </c>
      <c r="J432">
        <v>2221.5700000000002</v>
      </c>
      <c r="K432">
        <f t="shared" si="55"/>
        <v>1.2584186553509558</v>
      </c>
      <c r="L432">
        <f t="shared" si="56"/>
        <v>3.7531631863882446</v>
      </c>
      <c r="M432">
        <f t="shared" si="54"/>
        <v>80.88066666666667</v>
      </c>
      <c r="N432">
        <f t="shared" si="57"/>
        <v>0.45778760478400277</v>
      </c>
      <c r="O432">
        <f t="shared" si="58"/>
        <v>-2631.27</v>
      </c>
      <c r="P432">
        <f t="shared" si="59"/>
        <v>-485284</v>
      </c>
      <c r="Q432">
        <f t="shared" si="60"/>
        <v>2025</v>
      </c>
      <c r="R432">
        <f t="shared" si="61"/>
        <v>2</v>
      </c>
      <c r="S432">
        <f t="shared" si="62"/>
        <v>4.6403712296983759</v>
      </c>
    </row>
    <row r="433" spans="1:19" x14ac:dyDescent="0.3">
      <c r="A433" t="s">
        <v>441</v>
      </c>
      <c r="B433" s="2">
        <v>45768</v>
      </c>
      <c r="C433" t="s">
        <v>510</v>
      </c>
      <c r="D433" t="s">
        <v>517</v>
      </c>
      <c r="E433">
        <v>7826.25</v>
      </c>
      <c r="F433">
        <v>8140.68</v>
      </c>
      <c r="G433">
        <v>180765</v>
      </c>
      <c r="H433">
        <v>5270</v>
      </c>
      <c r="I433">
        <v>513</v>
      </c>
      <c r="J433">
        <v>13340.31</v>
      </c>
      <c r="K433">
        <f t="shared" si="55"/>
        <v>2.915387381406799</v>
      </c>
      <c r="L433">
        <f t="shared" si="56"/>
        <v>1.5447210626185959</v>
      </c>
      <c r="M433">
        <f t="shared" si="54"/>
        <v>15.868771929824561</v>
      </c>
      <c r="N433">
        <f t="shared" si="57"/>
        <v>1.6387218266778696</v>
      </c>
      <c r="O433">
        <f t="shared" si="58"/>
        <v>5199.6299999999992</v>
      </c>
      <c r="P433">
        <f t="shared" si="59"/>
        <v>-814068</v>
      </c>
      <c r="Q433">
        <f t="shared" si="60"/>
        <v>2025</v>
      </c>
      <c r="R433">
        <f t="shared" si="61"/>
        <v>4</v>
      </c>
      <c r="S433">
        <f t="shared" si="62"/>
        <v>9.7343453510436433</v>
      </c>
    </row>
    <row r="434" spans="1:19" x14ac:dyDescent="0.3">
      <c r="A434" t="s">
        <v>442</v>
      </c>
      <c r="B434" s="2">
        <v>45748</v>
      </c>
      <c r="C434" t="s">
        <v>510</v>
      </c>
      <c r="D434" t="s">
        <v>516</v>
      </c>
      <c r="E434">
        <v>4172.38</v>
      </c>
      <c r="F434">
        <v>3468.79</v>
      </c>
      <c r="G434">
        <v>143614</v>
      </c>
      <c r="H434">
        <v>4002</v>
      </c>
      <c r="I434">
        <v>362</v>
      </c>
      <c r="J434">
        <v>14151.63</v>
      </c>
      <c r="K434">
        <f t="shared" si="55"/>
        <v>2.7866364003509405</v>
      </c>
      <c r="L434">
        <f t="shared" si="56"/>
        <v>0.86676411794102948</v>
      </c>
      <c r="M434">
        <f t="shared" si="54"/>
        <v>9.5822928176795585</v>
      </c>
      <c r="N434">
        <f t="shared" si="57"/>
        <v>4.0797021439752763</v>
      </c>
      <c r="O434">
        <f t="shared" si="58"/>
        <v>10682.84</v>
      </c>
      <c r="P434">
        <f t="shared" si="59"/>
        <v>-346878.99999999988</v>
      </c>
      <c r="Q434">
        <f t="shared" si="60"/>
        <v>2025</v>
      </c>
      <c r="R434">
        <f t="shared" si="61"/>
        <v>4</v>
      </c>
      <c r="S434">
        <f t="shared" si="62"/>
        <v>9.0454772613693155</v>
      </c>
    </row>
    <row r="435" spans="1:19" x14ac:dyDescent="0.3">
      <c r="A435" t="s">
        <v>443</v>
      </c>
      <c r="B435" s="2">
        <v>45804</v>
      </c>
      <c r="C435" t="s">
        <v>511</v>
      </c>
      <c r="D435" t="s">
        <v>517</v>
      </c>
      <c r="E435">
        <v>7945.33</v>
      </c>
      <c r="F435">
        <v>6431.55</v>
      </c>
      <c r="G435">
        <v>174898</v>
      </c>
      <c r="H435">
        <v>7877</v>
      </c>
      <c r="I435">
        <v>806</v>
      </c>
      <c r="J435">
        <v>38757.61</v>
      </c>
      <c r="K435">
        <f t="shared" si="55"/>
        <v>4.5037679104392279</v>
      </c>
      <c r="L435">
        <f t="shared" si="56"/>
        <v>0.81649739748635275</v>
      </c>
      <c r="M435">
        <f t="shared" si="54"/>
        <v>7.9795905707196031</v>
      </c>
      <c r="N435">
        <f t="shared" si="57"/>
        <v>6.0261694303861431</v>
      </c>
      <c r="O435">
        <f t="shared" si="58"/>
        <v>32326.06</v>
      </c>
      <c r="P435">
        <f t="shared" si="59"/>
        <v>-643154.99999999988</v>
      </c>
      <c r="Q435">
        <f t="shared" si="60"/>
        <v>2025</v>
      </c>
      <c r="R435">
        <f t="shared" si="61"/>
        <v>5</v>
      </c>
      <c r="S435">
        <f t="shared" si="62"/>
        <v>10.232321949980957</v>
      </c>
    </row>
    <row r="436" spans="1:19" x14ac:dyDescent="0.3">
      <c r="A436" t="s">
        <v>444</v>
      </c>
      <c r="B436" s="2">
        <v>45774</v>
      </c>
      <c r="C436" t="s">
        <v>513</v>
      </c>
      <c r="D436" t="s">
        <v>518</v>
      </c>
      <c r="E436">
        <v>3363.8</v>
      </c>
      <c r="F436">
        <v>3237.28</v>
      </c>
      <c r="G436">
        <v>179667</v>
      </c>
      <c r="H436">
        <v>3625</v>
      </c>
      <c r="I436">
        <v>357</v>
      </c>
      <c r="J436">
        <v>14734.04</v>
      </c>
      <c r="K436">
        <f t="shared" si="55"/>
        <v>2.0176214886428783</v>
      </c>
      <c r="L436">
        <f t="shared" si="56"/>
        <v>0.89304275862068971</v>
      </c>
      <c r="M436">
        <f t="shared" si="54"/>
        <v>9.0680112044817935</v>
      </c>
      <c r="N436">
        <f t="shared" si="57"/>
        <v>4.5513641081401675</v>
      </c>
      <c r="O436">
        <f t="shared" si="58"/>
        <v>11496.76</v>
      </c>
      <c r="P436">
        <f t="shared" si="59"/>
        <v>-323728.00000000006</v>
      </c>
      <c r="Q436">
        <f t="shared" si="60"/>
        <v>2025</v>
      </c>
      <c r="R436">
        <f t="shared" si="61"/>
        <v>4</v>
      </c>
      <c r="S436">
        <f t="shared" si="62"/>
        <v>9.8482758620689648</v>
      </c>
    </row>
    <row r="437" spans="1:19" x14ac:dyDescent="0.3">
      <c r="A437" t="s">
        <v>445</v>
      </c>
      <c r="B437" s="2">
        <v>45653</v>
      </c>
      <c r="C437" t="s">
        <v>514</v>
      </c>
      <c r="D437" t="s">
        <v>515</v>
      </c>
      <c r="E437">
        <v>9096.7800000000007</v>
      </c>
      <c r="F437">
        <v>9226.19</v>
      </c>
      <c r="G437">
        <v>142353</v>
      </c>
      <c r="H437">
        <v>4745</v>
      </c>
      <c r="I437">
        <v>555</v>
      </c>
      <c r="J437">
        <v>24448.77</v>
      </c>
      <c r="K437">
        <f t="shared" si="55"/>
        <v>3.3332630854284768</v>
      </c>
      <c r="L437">
        <f t="shared" si="56"/>
        <v>1.9444025289778715</v>
      </c>
      <c r="M437">
        <f t="shared" si="54"/>
        <v>16.623765765765768</v>
      </c>
      <c r="N437">
        <f t="shared" si="57"/>
        <v>2.6499313367706496</v>
      </c>
      <c r="O437">
        <f t="shared" si="58"/>
        <v>15222.58</v>
      </c>
      <c r="P437">
        <f t="shared" si="59"/>
        <v>-922619</v>
      </c>
      <c r="Q437">
        <f t="shared" si="60"/>
        <v>2024</v>
      </c>
      <c r="R437">
        <f t="shared" si="61"/>
        <v>12</v>
      </c>
      <c r="S437">
        <f t="shared" si="62"/>
        <v>11.696522655426765</v>
      </c>
    </row>
    <row r="438" spans="1:19" x14ac:dyDescent="0.3">
      <c r="A438" t="s">
        <v>446</v>
      </c>
      <c r="B438" s="2">
        <v>45811</v>
      </c>
      <c r="C438" t="s">
        <v>512</v>
      </c>
      <c r="D438" t="s">
        <v>516</v>
      </c>
      <c r="E438">
        <v>5376.15</v>
      </c>
      <c r="F438">
        <v>5615.11</v>
      </c>
      <c r="G438">
        <v>161295</v>
      </c>
      <c r="H438">
        <v>7131</v>
      </c>
      <c r="I438">
        <v>124</v>
      </c>
      <c r="J438">
        <v>2778.03</v>
      </c>
      <c r="K438">
        <f t="shared" si="55"/>
        <v>4.4210917883381384</v>
      </c>
      <c r="L438">
        <f t="shared" si="56"/>
        <v>0.78742252138549984</v>
      </c>
      <c r="M438">
        <f t="shared" si="54"/>
        <v>45.283145161290321</v>
      </c>
      <c r="N438">
        <f t="shared" si="57"/>
        <v>0.49474186614331694</v>
      </c>
      <c r="O438">
        <f t="shared" si="58"/>
        <v>-2837.0799999999995</v>
      </c>
      <c r="P438">
        <f t="shared" si="59"/>
        <v>-561511</v>
      </c>
      <c r="Q438">
        <f t="shared" si="60"/>
        <v>2025</v>
      </c>
      <c r="R438">
        <f t="shared" si="61"/>
        <v>6</v>
      </c>
      <c r="S438">
        <f t="shared" si="62"/>
        <v>1.7388865516757817</v>
      </c>
    </row>
    <row r="439" spans="1:19" x14ac:dyDescent="0.3">
      <c r="A439" t="s">
        <v>447</v>
      </c>
      <c r="B439" s="2">
        <v>45803</v>
      </c>
      <c r="C439" t="s">
        <v>510</v>
      </c>
      <c r="D439" t="s">
        <v>517</v>
      </c>
      <c r="E439">
        <v>9263.7199999999993</v>
      </c>
      <c r="F439">
        <v>8932.7999999999993</v>
      </c>
      <c r="G439">
        <v>72755</v>
      </c>
      <c r="H439">
        <v>2170</v>
      </c>
      <c r="I439">
        <v>58</v>
      </c>
      <c r="J439">
        <v>2582.1</v>
      </c>
      <c r="K439">
        <f t="shared" si="55"/>
        <v>2.9826128788399422</v>
      </c>
      <c r="L439">
        <f t="shared" si="56"/>
        <v>4.1164976958525346</v>
      </c>
      <c r="M439">
        <f t="shared" si="54"/>
        <v>154.01379310344825</v>
      </c>
      <c r="N439">
        <f t="shared" si="57"/>
        <v>0.28905830198817839</v>
      </c>
      <c r="O439">
        <f t="shared" si="58"/>
        <v>-6350.6999999999989</v>
      </c>
      <c r="P439">
        <f t="shared" si="59"/>
        <v>-893279.99999999988</v>
      </c>
      <c r="Q439">
        <f t="shared" si="60"/>
        <v>2025</v>
      </c>
      <c r="R439">
        <f t="shared" si="61"/>
        <v>5</v>
      </c>
      <c r="S439">
        <f t="shared" si="62"/>
        <v>2.6728110599078341</v>
      </c>
    </row>
    <row r="440" spans="1:19" x14ac:dyDescent="0.3">
      <c r="A440" t="s">
        <v>448</v>
      </c>
      <c r="B440" s="2">
        <v>45765</v>
      </c>
      <c r="C440" t="s">
        <v>513</v>
      </c>
      <c r="D440" t="s">
        <v>518</v>
      </c>
      <c r="E440">
        <v>6166.23</v>
      </c>
      <c r="F440">
        <v>6123.52</v>
      </c>
      <c r="G440">
        <v>136413</v>
      </c>
      <c r="H440">
        <v>3434</v>
      </c>
      <c r="I440">
        <v>635</v>
      </c>
      <c r="J440">
        <v>22727.97</v>
      </c>
      <c r="K440">
        <f t="shared" si="55"/>
        <v>2.5173553840176521</v>
      </c>
      <c r="L440">
        <f t="shared" si="56"/>
        <v>1.783203261502621</v>
      </c>
      <c r="M440">
        <f t="shared" si="54"/>
        <v>9.6433385826771669</v>
      </c>
      <c r="N440">
        <f t="shared" si="57"/>
        <v>3.7115858199205687</v>
      </c>
      <c r="O440">
        <f t="shared" si="58"/>
        <v>16604.45</v>
      </c>
      <c r="P440">
        <f t="shared" si="59"/>
        <v>-612352</v>
      </c>
      <c r="Q440">
        <f t="shared" si="60"/>
        <v>2025</v>
      </c>
      <c r="R440">
        <f t="shared" si="61"/>
        <v>4</v>
      </c>
      <c r="S440">
        <f t="shared" si="62"/>
        <v>18.491555037856727</v>
      </c>
    </row>
    <row r="441" spans="1:19" x14ac:dyDescent="0.3">
      <c r="A441" t="s">
        <v>449</v>
      </c>
      <c r="B441" s="2">
        <v>45707</v>
      </c>
      <c r="C441" t="s">
        <v>514</v>
      </c>
      <c r="D441" t="s">
        <v>517</v>
      </c>
      <c r="E441">
        <v>8121.13</v>
      </c>
      <c r="F441">
        <v>6695.78</v>
      </c>
      <c r="G441">
        <v>190122</v>
      </c>
      <c r="H441">
        <v>2084</v>
      </c>
      <c r="I441">
        <v>362</v>
      </c>
      <c r="J441">
        <v>7895.42</v>
      </c>
      <c r="K441">
        <f t="shared" si="55"/>
        <v>1.0961382691114125</v>
      </c>
      <c r="L441">
        <f t="shared" si="56"/>
        <v>3.2129462571976966</v>
      </c>
      <c r="M441">
        <f t="shared" si="54"/>
        <v>18.496629834254144</v>
      </c>
      <c r="N441">
        <f t="shared" si="57"/>
        <v>1.1791635925911546</v>
      </c>
      <c r="O441">
        <f t="shared" si="58"/>
        <v>1199.6400000000003</v>
      </c>
      <c r="P441">
        <f t="shared" si="59"/>
        <v>-669578</v>
      </c>
      <c r="Q441">
        <f t="shared" si="60"/>
        <v>2025</v>
      </c>
      <c r="R441">
        <f t="shared" si="61"/>
        <v>2</v>
      </c>
      <c r="S441">
        <f t="shared" si="62"/>
        <v>17.370441458733204</v>
      </c>
    </row>
    <row r="442" spans="1:19" x14ac:dyDescent="0.3">
      <c r="A442" t="s">
        <v>450</v>
      </c>
      <c r="B442" s="2">
        <v>45667</v>
      </c>
      <c r="C442" t="s">
        <v>513</v>
      </c>
      <c r="D442" t="s">
        <v>515</v>
      </c>
      <c r="E442">
        <v>4729.72</v>
      </c>
      <c r="F442">
        <v>4010.16</v>
      </c>
      <c r="G442">
        <v>84930</v>
      </c>
      <c r="H442">
        <v>1915</v>
      </c>
      <c r="I442">
        <v>303</v>
      </c>
      <c r="J442">
        <v>13984.51</v>
      </c>
      <c r="K442">
        <f t="shared" si="55"/>
        <v>2.2547980689979985</v>
      </c>
      <c r="L442">
        <f t="shared" si="56"/>
        <v>2.0940783289817233</v>
      </c>
      <c r="M442">
        <f t="shared" si="54"/>
        <v>13.234851485148514</v>
      </c>
      <c r="N442">
        <f t="shared" si="57"/>
        <v>3.487269834620065</v>
      </c>
      <c r="O442">
        <f t="shared" si="58"/>
        <v>9974.35</v>
      </c>
      <c r="P442">
        <f t="shared" si="59"/>
        <v>-401016</v>
      </c>
      <c r="Q442">
        <f t="shared" si="60"/>
        <v>2025</v>
      </c>
      <c r="R442">
        <f t="shared" si="61"/>
        <v>1</v>
      </c>
      <c r="S442">
        <f t="shared" si="62"/>
        <v>15.822454308093995</v>
      </c>
    </row>
    <row r="443" spans="1:19" x14ac:dyDescent="0.3">
      <c r="A443" t="s">
        <v>451</v>
      </c>
      <c r="B443" s="2">
        <v>45671</v>
      </c>
      <c r="C443" t="s">
        <v>510</v>
      </c>
      <c r="D443" t="s">
        <v>515</v>
      </c>
      <c r="E443">
        <v>4534.5</v>
      </c>
      <c r="F443">
        <v>4955.12</v>
      </c>
      <c r="G443">
        <v>120822</v>
      </c>
      <c r="H443">
        <v>1992</v>
      </c>
      <c r="I443">
        <v>277</v>
      </c>
      <c r="J443">
        <v>8339.6</v>
      </c>
      <c r="K443">
        <f t="shared" si="55"/>
        <v>1.6487063614242439</v>
      </c>
      <c r="L443">
        <f t="shared" si="56"/>
        <v>2.4875100401606427</v>
      </c>
      <c r="M443">
        <f t="shared" si="54"/>
        <v>17.888519855595668</v>
      </c>
      <c r="N443">
        <f t="shared" si="57"/>
        <v>1.6830268489965936</v>
      </c>
      <c r="O443">
        <f t="shared" si="58"/>
        <v>3384.4800000000005</v>
      </c>
      <c r="P443">
        <f t="shared" si="59"/>
        <v>-495512</v>
      </c>
      <c r="Q443">
        <f t="shared" si="60"/>
        <v>2025</v>
      </c>
      <c r="R443">
        <f t="shared" si="61"/>
        <v>1</v>
      </c>
      <c r="S443">
        <f t="shared" si="62"/>
        <v>13.905622489959841</v>
      </c>
    </row>
    <row r="444" spans="1:19" x14ac:dyDescent="0.3">
      <c r="A444" t="s">
        <v>452</v>
      </c>
      <c r="B444" s="2">
        <v>45724</v>
      </c>
      <c r="C444" t="s">
        <v>512</v>
      </c>
      <c r="D444" t="s">
        <v>515</v>
      </c>
      <c r="E444">
        <v>4274.83</v>
      </c>
      <c r="F444">
        <v>4432.6099999999997</v>
      </c>
      <c r="G444">
        <v>108943</v>
      </c>
      <c r="H444">
        <v>3924</v>
      </c>
      <c r="I444">
        <v>687</v>
      </c>
      <c r="J444">
        <v>27315.97</v>
      </c>
      <c r="K444">
        <f t="shared" si="55"/>
        <v>3.6018835537850071</v>
      </c>
      <c r="L444">
        <f t="shared" si="56"/>
        <v>1.1296151885830783</v>
      </c>
      <c r="M444">
        <f t="shared" si="54"/>
        <v>6.4521251819505085</v>
      </c>
      <c r="N444">
        <f t="shared" si="57"/>
        <v>6.1625024534078126</v>
      </c>
      <c r="O444">
        <f t="shared" si="58"/>
        <v>22883.360000000001</v>
      </c>
      <c r="P444">
        <f t="shared" si="59"/>
        <v>-443261.00000000006</v>
      </c>
      <c r="Q444">
        <f t="shared" si="60"/>
        <v>2025</v>
      </c>
      <c r="R444">
        <f t="shared" si="61"/>
        <v>3</v>
      </c>
      <c r="S444">
        <f t="shared" si="62"/>
        <v>17.507645259938837</v>
      </c>
    </row>
    <row r="445" spans="1:19" x14ac:dyDescent="0.3">
      <c r="A445" t="s">
        <v>453</v>
      </c>
      <c r="B445" s="2">
        <v>45735</v>
      </c>
      <c r="C445" t="s">
        <v>514</v>
      </c>
      <c r="D445" t="s">
        <v>516</v>
      </c>
      <c r="E445">
        <v>6487.37</v>
      </c>
      <c r="F445">
        <v>6270.75</v>
      </c>
      <c r="G445">
        <v>145244</v>
      </c>
      <c r="H445">
        <v>7015</v>
      </c>
      <c r="I445">
        <v>623</v>
      </c>
      <c r="J445">
        <v>25901.88</v>
      </c>
      <c r="K445">
        <f t="shared" si="55"/>
        <v>4.8298036407700149</v>
      </c>
      <c r="L445">
        <f t="shared" si="56"/>
        <v>0.89390591589451174</v>
      </c>
      <c r="M445">
        <f t="shared" si="54"/>
        <v>10.065409309791333</v>
      </c>
      <c r="N445">
        <f t="shared" si="57"/>
        <v>4.1305872503289081</v>
      </c>
      <c r="O445">
        <f t="shared" si="58"/>
        <v>19631.13</v>
      </c>
      <c r="P445">
        <f t="shared" si="59"/>
        <v>-627075</v>
      </c>
      <c r="Q445">
        <f t="shared" si="60"/>
        <v>2025</v>
      </c>
      <c r="R445">
        <f t="shared" si="61"/>
        <v>3</v>
      </c>
      <c r="S445">
        <f t="shared" si="62"/>
        <v>8.8809693513898793</v>
      </c>
    </row>
    <row r="446" spans="1:19" x14ac:dyDescent="0.3">
      <c r="A446" t="s">
        <v>454</v>
      </c>
      <c r="B446" s="2">
        <v>45679</v>
      </c>
      <c r="C446" t="s">
        <v>513</v>
      </c>
      <c r="D446" t="s">
        <v>515</v>
      </c>
      <c r="E446">
        <v>4599.18</v>
      </c>
      <c r="F446">
        <v>5054.04</v>
      </c>
      <c r="G446">
        <v>174584</v>
      </c>
      <c r="H446">
        <v>5659</v>
      </c>
      <c r="I446">
        <v>91</v>
      </c>
      <c r="J446">
        <v>4481.1899999999996</v>
      </c>
      <c r="K446">
        <f t="shared" si="55"/>
        <v>3.2414196031709661</v>
      </c>
      <c r="L446">
        <f t="shared" si="56"/>
        <v>0.89309772044530833</v>
      </c>
      <c r="M446">
        <f t="shared" si="54"/>
        <v>55.5389010989011</v>
      </c>
      <c r="N446">
        <f t="shared" si="57"/>
        <v>0.88665503240971577</v>
      </c>
      <c r="O446">
        <f t="shared" si="58"/>
        <v>-572.85000000000036</v>
      </c>
      <c r="P446">
        <f t="shared" si="59"/>
        <v>-505404</v>
      </c>
      <c r="Q446">
        <f t="shared" si="60"/>
        <v>2025</v>
      </c>
      <c r="R446">
        <f t="shared" si="61"/>
        <v>1</v>
      </c>
      <c r="S446">
        <f t="shared" si="62"/>
        <v>1.6080579607704542</v>
      </c>
    </row>
    <row r="447" spans="1:19" x14ac:dyDescent="0.3">
      <c r="A447" t="s">
        <v>455</v>
      </c>
      <c r="B447" s="2">
        <v>45742</v>
      </c>
      <c r="C447" t="s">
        <v>513</v>
      </c>
      <c r="D447" t="s">
        <v>517</v>
      </c>
      <c r="E447">
        <v>7552.28</v>
      </c>
      <c r="F447">
        <v>6493.92</v>
      </c>
      <c r="G447">
        <v>187179</v>
      </c>
      <c r="H447">
        <v>9269</v>
      </c>
      <c r="I447">
        <v>1087</v>
      </c>
      <c r="J447">
        <v>43922.239999999998</v>
      </c>
      <c r="K447">
        <f t="shared" si="55"/>
        <v>4.9519443954717142</v>
      </c>
      <c r="L447">
        <f t="shared" si="56"/>
        <v>0.70060632214909913</v>
      </c>
      <c r="M447">
        <f t="shared" si="54"/>
        <v>5.974167433302668</v>
      </c>
      <c r="N447">
        <f t="shared" si="57"/>
        <v>6.7635942543178844</v>
      </c>
      <c r="O447">
        <f t="shared" si="58"/>
        <v>37428.32</v>
      </c>
      <c r="P447">
        <f t="shared" si="59"/>
        <v>-649391.99999999977</v>
      </c>
      <c r="Q447">
        <f t="shared" si="60"/>
        <v>2025</v>
      </c>
      <c r="R447">
        <f t="shared" si="61"/>
        <v>3</v>
      </c>
      <c r="S447">
        <f t="shared" si="62"/>
        <v>11.727262919408782</v>
      </c>
    </row>
    <row r="448" spans="1:19" x14ac:dyDescent="0.3">
      <c r="A448" t="s">
        <v>456</v>
      </c>
      <c r="B448" s="2">
        <v>45710</v>
      </c>
      <c r="C448" t="s">
        <v>514</v>
      </c>
      <c r="D448" t="s">
        <v>518</v>
      </c>
      <c r="E448">
        <v>3505.39</v>
      </c>
      <c r="F448">
        <v>2836.55</v>
      </c>
      <c r="G448">
        <v>113319</v>
      </c>
      <c r="H448">
        <v>2346</v>
      </c>
      <c r="I448">
        <v>225</v>
      </c>
      <c r="J448">
        <v>6239.36</v>
      </c>
      <c r="K448">
        <f t="shared" si="55"/>
        <v>2.0702618272310911</v>
      </c>
      <c r="L448">
        <f t="shared" si="56"/>
        <v>1.2091005967604433</v>
      </c>
      <c r="M448">
        <f t="shared" si="54"/>
        <v>12.606888888888889</v>
      </c>
      <c r="N448">
        <f t="shared" si="57"/>
        <v>2.1996298320142422</v>
      </c>
      <c r="O448">
        <f t="shared" si="58"/>
        <v>3402.8099999999995</v>
      </c>
      <c r="P448">
        <f t="shared" si="59"/>
        <v>-283655</v>
      </c>
      <c r="Q448">
        <f t="shared" si="60"/>
        <v>2025</v>
      </c>
      <c r="R448">
        <f t="shared" si="61"/>
        <v>2</v>
      </c>
      <c r="S448">
        <f t="shared" si="62"/>
        <v>9.5907928388746804</v>
      </c>
    </row>
    <row r="449" spans="1:19" x14ac:dyDescent="0.3">
      <c r="A449" t="s">
        <v>457</v>
      </c>
      <c r="B449" s="2">
        <v>45719</v>
      </c>
      <c r="C449" t="s">
        <v>510</v>
      </c>
      <c r="D449" t="s">
        <v>517</v>
      </c>
      <c r="E449">
        <v>6238.36</v>
      </c>
      <c r="F449">
        <v>6615.67</v>
      </c>
      <c r="G449">
        <v>97411</v>
      </c>
      <c r="H449">
        <v>2282</v>
      </c>
      <c r="I449">
        <v>391</v>
      </c>
      <c r="J449">
        <v>16349.69</v>
      </c>
      <c r="K449">
        <f t="shared" si="55"/>
        <v>2.3426512406196425</v>
      </c>
      <c r="L449">
        <f t="shared" si="56"/>
        <v>2.8990666082383876</v>
      </c>
      <c r="M449">
        <f t="shared" si="54"/>
        <v>16.919872122762147</v>
      </c>
      <c r="N449">
        <f t="shared" si="57"/>
        <v>2.4713581542005572</v>
      </c>
      <c r="O449">
        <f t="shared" si="58"/>
        <v>9734.02</v>
      </c>
      <c r="P449">
        <f t="shared" si="59"/>
        <v>-661567</v>
      </c>
      <c r="Q449">
        <f t="shared" si="60"/>
        <v>2025</v>
      </c>
      <c r="R449">
        <f t="shared" si="61"/>
        <v>3</v>
      </c>
      <c r="S449">
        <f t="shared" si="62"/>
        <v>17.134092900964067</v>
      </c>
    </row>
    <row r="450" spans="1:19" x14ac:dyDescent="0.3">
      <c r="A450" t="s">
        <v>458</v>
      </c>
      <c r="B450" s="2">
        <v>45798</v>
      </c>
      <c r="C450" t="s">
        <v>511</v>
      </c>
      <c r="D450" t="s">
        <v>517</v>
      </c>
      <c r="E450">
        <v>8198.9500000000007</v>
      </c>
      <c r="F450">
        <v>7605.74</v>
      </c>
      <c r="G450">
        <v>172776</v>
      </c>
      <c r="H450">
        <v>7965</v>
      </c>
      <c r="I450">
        <v>101</v>
      </c>
      <c r="J450">
        <v>3068.18</v>
      </c>
      <c r="K450">
        <f t="shared" si="55"/>
        <v>4.6100152798999856</v>
      </c>
      <c r="L450">
        <f t="shared" si="56"/>
        <v>0.95489516635279348</v>
      </c>
      <c r="M450">
        <f t="shared" ref="M450:M501" si="63">(F450/I450)</f>
        <v>75.304356435643555</v>
      </c>
      <c r="N450">
        <f t="shared" si="57"/>
        <v>0.40340321914764377</v>
      </c>
      <c r="O450">
        <f t="shared" si="58"/>
        <v>-4537.5599999999995</v>
      </c>
      <c r="P450">
        <f t="shared" si="59"/>
        <v>-760574</v>
      </c>
      <c r="Q450">
        <f t="shared" si="60"/>
        <v>2025</v>
      </c>
      <c r="R450">
        <f t="shared" si="61"/>
        <v>5</v>
      </c>
      <c r="S450">
        <f t="shared" si="62"/>
        <v>1.2680477087256747</v>
      </c>
    </row>
    <row r="451" spans="1:19" x14ac:dyDescent="0.3">
      <c r="A451" t="s">
        <v>459</v>
      </c>
      <c r="B451" s="2">
        <v>45758</v>
      </c>
      <c r="C451" t="s">
        <v>510</v>
      </c>
      <c r="D451" t="s">
        <v>516</v>
      </c>
      <c r="E451">
        <v>5597.27</v>
      </c>
      <c r="F451">
        <v>6136.26</v>
      </c>
      <c r="G451">
        <v>117252</v>
      </c>
      <c r="H451">
        <v>4476</v>
      </c>
      <c r="I451">
        <v>461</v>
      </c>
      <c r="J451">
        <v>9774.7099999999991</v>
      </c>
      <c r="K451">
        <f t="shared" ref="K451:K501" si="64">((H451/G451)*100)</f>
        <v>3.81741889264149</v>
      </c>
      <c r="L451">
        <f t="shared" ref="L451:L501" si="65">(F451/H451)</f>
        <v>1.3709249329758713</v>
      </c>
      <c r="M451">
        <f t="shared" si="63"/>
        <v>13.310759219088938</v>
      </c>
      <c r="N451">
        <f t="shared" ref="N451:N501" si="66">(J451/F451)</f>
        <v>1.592942606734395</v>
      </c>
      <c r="O451">
        <f t="shared" ref="O451:O501" si="67">(J451-F451)</f>
        <v>3638.4499999999989</v>
      </c>
      <c r="P451">
        <f t="shared" ref="P451:P501" si="68">(O451-J451)*100</f>
        <v>-613626</v>
      </c>
      <c r="Q451">
        <f t="shared" ref="Q451:Q501" si="69">YEAR(B451)</f>
        <v>2025</v>
      </c>
      <c r="R451">
        <f t="shared" ref="R451:R501" si="70">MONTH(B451)</f>
        <v>4</v>
      </c>
      <c r="S451">
        <f t="shared" ref="S451:S499" si="71">(I451/H451)*100</f>
        <v>10.299374441465595</v>
      </c>
    </row>
    <row r="452" spans="1:19" x14ac:dyDescent="0.3">
      <c r="A452" t="s">
        <v>460</v>
      </c>
      <c r="B452" s="2">
        <v>45687</v>
      </c>
      <c r="C452" t="s">
        <v>512</v>
      </c>
      <c r="D452" t="s">
        <v>516</v>
      </c>
      <c r="E452">
        <v>9069.2199999999993</v>
      </c>
      <c r="F452">
        <v>8829.82</v>
      </c>
      <c r="G452">
        <v>149827</v>
      </c>
      <c r="H452">
        <v>5041</v>
      </c>
      <c r="I452">
        <v>104</v>
      </c>
      <c r="J452">
        <v>3448.48</v>
      </c>
      <c r="K452">
        <f t="shared" si="64"/>
        <v>3.3645471110013552</v>
      </c>
      <c r="L452">
        <f t="shared" si="65"/>
        <v>1.7516008728426899</v>
      </c>
      <c r="M452">
        <f t="shared" si="63"/>
        <v>84.902115384615385</v>
      </c>
      <c r="N452">
        <f t="shared" si="66"/>
        <v>0.39054929772067837</v>
      </c>
      <c r="O452">
        <f t="shared" si="67"/>
        <v>-5381.34</v>
      </c>
      <c r="P452">
        <f t="shared" si="68"/>
        <v>-882982</v>
      </c>
      <c r="Q452">
        <f t="shared" si="69"/>
        <v>2025</v>
      </c>
      <c r="R452">
        <f t="shared" si="70"/>
        <v>1</v>
      </c>
      <c r="S452">
        <f t="shared" si="71"/>
        <v>2.0630827216822056</v>
      </c>
    </row>
    <row r="453" spans="1:19" x14ac:dyDescent="0.3">
      <c r="A453" t="s">
        <v>461</v>
      </c>
      <c r="B453" s="2">
        <v>45659</v>
      </c>
      <c r="C453" t="s">
        <v>514</v>
      </c>
      <c r="D453" t="s">
        <v>517</v>
      </c>
      <c r="E453">
        <v>8076.8</v>
      </c>
      <c r="F453">
        <v>7640.66</v>
      </c>
      <c r="G453">
        <v>148415</v>
      </c>
      <c r="H453">
        <v>5679</v>
      </c>
      <c r="I453">
        <v>1058</v>
      </c>
      <c r="J453">
        <v>48882.45</v>
      </c>
      <c r="K453">
        <f t="shared" si="64"/>
        <v>3.8264326382104232</v>
      </c>
      <c r="L453">
        <f t="shared" si="65"/>
        <v>1.3454234900510653</v>
      </c>
      <c r="M453">
        <f t="shared" si="63"/>
        <v>7.22179584120983</v>
      </c>
      <c r="N453">
        <f t="shared" si="66"/>
        <v>6.397673761167229</v>
      </c>
      <c r="O453">
        <f t="shared" si="67"/>
        <v>41241.789999999994</v>
      </c>
      <c r="P453">
        <f t="shared" si="68"/>
        <v>-764066.00000000035</v>
      </c>
      <c r="Q453">
        <f t="shared" si="69"/>
        <v>2025</v>
      </c>
      <c r="R453">
        <f t="shared" si="70"/>
        <v>1</v>
      </c>
      <c r="S453">
        <f t="shared" si="71"/>
        <v>18.630040500088043</v>
      </c>
    </row>
    <row r="454" spans="1:19" x14ac:dyDescent="0.3">
      <c r="A454" t="s">
        <v>462</v>
      </c>
      <c r="B454" s="2">
        <v>45681</v>
      </c>
      <c r="C454" t="s">
        <v>512</v>
      </c>
      <c r="D454" t="s">
        <v>517</v>
      </c>
      <c r="E454">
        <v>9304.91</v>
      </c>
      <c r="F454">
        <v>8621.15</v>
      </c>
      <c r="G454">
        <v>96330</v>
      </c>
      <c r="H454">
        <v>1282</v>
      </c>
      <c r="I454">
        <v>150</v>
      </c>
      <c r="J454">
        <v>4245.7299999999996</v>
      </c>
      <c r="K454">
        <f t="shared" si="64"/>
        <v>1.3308418976435172</v>
      </c>
      <c r="L454">
        <f t="shared" si="65"/>
        <v>6.7247659906396251</v>
      </c>
      <c r="M454">
        <f t="shared" si="63"/>
        <v>57.474333333333334</v>
      </c>
      <c r="N454">
        <f t="shared" si="66"/>
        <v>0.49247838165441965</v>
      </c>
      <c r="O454">
        <f t="shared" si="67"/>
        <v>-4375.42</v>
      </c>
      <c r="P454">
        <f t="shared" si="68"/>
        <v>-862115</v>
      </c>
      <c r="Q454">
        <f t="shared" si="69"/>
        <v>2025</v>
      </c>
      <c r="R454">
        <f t="shared" si="70"/>
        <v>1</v>
      </c>
      <c r="S454">
        <f t="shared" si="71"/>
        <v>11.700468018720748</v>
      </c>
    </row>
    <row r="455" spans="1:19" x14ac:dyDescent="0.3">
      <c r="A455" t="s">
        <v>463</v>
      </c>
      <c r="B455" s="2">
        <v>45750</v>
      </c>
      <c r="C455" t="s">
        <v>510</v>
      </c>
      <c r="D455" t="s">
        <v>516</v>
      </c>
      <c r="E455">
        <v>7146.45</v>
      </c>
      <c r="F455">
        <v>7673.21</v>
      </c>
      <c r="G455">
        <v>96745</v>
      </c>
      <c r="H455">
        <v>2886</v>
      </c>
      <c r="I455">
        <v>402</v>
      </c>
      <c r="J455">
        <v>10580.59</v>
      </c>
      <c r="K455">
        <f t="shared" si="64"/>
        <v>2.9830999018037105</v>
      </c>
      <c r="L455">
        <f t="shared" si="65"/>
        <v>2.6587699237699236</v>
      </c>
      <c r="M455">
        <f t="shared" si="63"/>
        <v>19.087587064676615</v>
      </c>
      <c r="N455">
        <f t="shared" si="66"/>
        <v>1.3789000952665182</v>
      </c>
      <c r="O455">
        <f t="shared" si="67"/>
        <v>2907.38</v>
      </c>
      <c r="P455">
        <f t="shared" si="68"/>
        <v>-767321</v>
      </c>
      <c r="Q455">
        <f t="shared" si="69"/>
        <v>2025</v>
      </c>
      <c r="R455">
        <f t="shared" si="70"/>
        <v>4</v>
      </c>
      <c r="S455">
        <f t="shared" si="71"/>
        <v>13.929313929313929</v>
      </c>
    </row>
    <row r="456" spans="1:19" x14ac:dyDescent="0.3">
      <c r="A456" t="s">
        <v>464</v>
      </c>
      <c r="B456" s="2">
        <v>45682</v>
      </c>
      <c r="C456" t="s">
        <v>514</v>
      </c>
      <c r="D456" t="s">
        <v>518</v>
      </c>
      <c r="E456">
        <v>7360.77</v>
      </c>
      <c r="F456">
        <v>7283.25</v>
      </c>
      <c r="G456">
        <v>66585</v>
      </c>
      <c r="H456">
        <v>3235</v>
      </c>
      <c r="I456">
        <v>641</v>
      </c>
      <c r="J456">
        <v>26917.759999999998</v>
      </c>
      <c r="K456">
        <f t="shared" si="64"/>
        <v>4.8584516032139371</v>
      </c>
      <c r="L456">
        <f t="shared" si="65"/>
        <v>2.2513910355486861</v>
      </c>
      <c r="M456">
        <f t="shared" si="63"/>
        <v>11.362324492979718</v>
      </c>
      <c r="N456">
        <f t="shared" si="66"/>
        <v>3.6958445748807192</v>
      </c>
      <c r="O456">
        <f t="shared" si="67"/>
        <v>19634.509999999998</v>
      </c>
      <c r="P456">
        <f t="shared" si="68"/>
        <v>-728325</v>
      </c>
      <c r="Q456">
        <f t="shared" si="69"/>
        <v>2025</v>
      </c>
      <c r="R456">
        <f t="shared" si="70"/>
        <v>1</v>
      </c>
      <c r="S456">
        <f t="shared" si="71"/>
        <v>19.814528593508502</v>
      </c>
    </row>
    <row r="457" spans="1:19" x14ac:dyDescent="0.3">
      <c r="A457" t="s">
        <v>465</v>
      </c>
      <c r="B457" s="2">
        <v>45786</v>
      </c>
      <c r="C457" t="s">
        <v>510</v>
      </c>
      <c r="D457" t="s">
        <v>517</v>
      </c>
      <c r="E457">
        <v>3920.97</v>
      </c>
      <c r="F457">
        <v>3978.79</v>
      </c>
      <c r="G457">
        <v>192117</v>
      </c>
      <c r="H457">
        <v>4361</v>
      </c>
      <c r="I457">
        <v>98</v>
      </c>
      <c r="J457">
        <v>4632.5600000000004</v>
      </c>
      <c r="K457">
        <f t="shared" si="64"/>
        <v>2.269970903147561</v>
      </c>
      <c r="L457">
        <f t="shared" si="65"/>
        <v>0.9123572575097455</v>
      </c>
      <c r="M457">
        <f t="shared" si="63"/>
        <v>40.599897959183672</v>
      </c>
      <c r="N457">
        <f t="shared" si="66"/>
        <v>1.1643137737854976</v>
      </c>
      <c r="O457">
        <f t="shared" si="67"/>
        <v>653.77000000000044</v>
      </c>
      <c r="P457">
        <f t="shared" si="68"/>
        <v>-397879</v>
      </c>
      <c r="Q457">
        <f t="shared" si="69"/>
        <v>2025</v>
      </c>
      <c r="R457">
        <f t="shared" si="70"/>
        <v>5</v>
      </c>
      <c r="S457">
        <f t="shared" si="71"/>
        <v>2.2471910112359552</v>
      </c>
    </row>
    <row r="458" spans="1:19" x14ac:dyDescent="0.3">
      <c r="A458" t="s">
        <v>466</v>
      </c>
      <c r="B458" s="2">
        <v>45686</v>
      </c>
      <c r="C458" t="s">
        <v>513</v>
      </c>
      <c r="D458" t="s">
        <v>518</v>
      </c>
      <c r="E458">
        <v>4257.78</v>
      </c>
      <c r="F458">
        <v>3709.65</v>
      </c>
      <c r="G458">
        <v>194804</v>
      </c>
      <c r="H458">
        <v>8803</v>
      </c>
      <c r="I458">
        <v>1231</v>
      </c>
      <c r="J458">
        <v>60493.62</v>
      </c>
      <c r="K458">
        <f t="shared" si="64"/>
        <v>4.5189010492597683</v>
      </c>
      <c r="L458">
        <f t="shared" si="65"/>
        <v>0.42140747472452572</v>
      </c>
      <c r="M458">
        <f t="shared" si="63"/>
        <v>3.0135255889520716</v>
      </c>
      <c r="N458">
        <f t="shared" si="66"/>
        <v>16.30709635679916</v>
      </c>
      <c r="O458">
        <f t="shared" si="67"/>
        <v>56783.97</v>
      </c>
      <c r="P458">
        <f t="shared" si="68"/>
        <v>-370965.00000000012</v>
      </c>
      <c r="Q458">
        <f t="shared" si="69"/>
        <v>2025</v>
      </c>
      <c r="R458">
        <f t="shared" si="70"/>
        <v>1</v>
      </c>
      <c r="S458">
        <f t="shared" si="71"/>
        <v>13.983869135521982</v>
      </c>
    </row>
    <row r="459" spans="1:19" x14ac:dyDescent="0.3">
      <c r="A459" t="s">
        <v>467</v>
      </c>
      <c r="B459" s="2">
        <v>45670</v>
      </c>
      <c r="C459" t="s">
        <v>514</v>
      </c>
      <c r="D459" t="s">
        <v>516</v>
      </c>
      <c r="E459">
        <v>4266.84</v>
      </c>
      <c r="F459">
        <v>4507.13</v>
      </c>
      <c r="G459">
        <v>91032</v>
      </c>
      <c r="H459">
        <v>3308</v>
      </c>
      <c r="I459">
        <v>330</v>
      </c>
      <c r="J459">
        <v>11473.55</v>
      </c>
      <c r="K459">
        <f t="shared" si="64"/>
        <v>3.6338869847965549</v>
      </c>
      <c r="L459">
        <f t="shared" si="65"/>
        <v>1.3624939540507861</v>
      </c>
      <c r="M459">
        <f t="shared" si="63"/>
        <v>13.657969696969698</v>
      </c>
      <c r="N459">
        <f t="shared" si="66"/>
        <v>2.5456443457366436</v>
      </c>
      <c r="O459">
        <f t="shared" si="67"/>
        <v>6966.4199999999992</v>
      </c>
      <c r="P459">
        <f t="shared" si="68"/>
        <v>-450713</v>
      </c>
      <c r="Q459">
        <f t="shared" si="69"/>
        <v>2025</v>
      </c>
      <c r="R459">
        <f t="shared" si="70"/>
        <v>1</v>
      </c>
      <c r="S459">
        <f t="shared" si="71"/>
        <v>9.9758162031438928</v>
      </c>
    </row>
    <row r="460" spans="1:19" x14ac:dyDescent="0.3">
      <c r="A460" t="s">
        <v>468</v>
      </c>
      <c r="B460" s="2">
        <v>45739</v>
      </c>
      <c r="C460" t="s">
        <v>510</v>
      </c>
      <c r="D460" t="s">
        <v>518</v>
      </c>
      <c r="E460">
        <v>4730.62</v>
      </c>
      <c r="F460">
        <v>5020.25</v>
      </c>
      <c r="G460">
        <v>116506</v>
      </c>
      <c r="H460">
        <v>4331</v>
      </c>
      <c r="I460">
        <v>122</v>
      </c>
      <c r="J460">
        <v>4069.82</v>
      </c>
      <c r="K460">
        <f t="shared" si="64"/>
        <v>3.7174051121830636</v>
      </c>
      <c r="L460">
        <f t="shared" si="65"/>
        <v>1.1591433848995614</v>
      </c>
      <c r="M460">
        <f t="shared" si="63"/>
        <v>41.149590163934427</v>
      </c>
      <c r="N460">
        <f t="shared" si="66"/>
        <v>0.81068074299088699</v>
      </c>
      <c r="O460">
        <f t="shared" si="67"/>
        <v>-950.42999999999984</v>
      </c>
      <c r="P460">
        <f t="shared" si="68"/>
        <v>-502025</v>
      </c>
      <c r="Q460">
        <f t="shared" si="69"/>
        <v>2025</v>
      </c>
      <c r="R460">
        <f t="shared" si="70"/>
        <v>3</v>
      </c>
      <c r="S460">
        <f t="shared" si="71"/>
        <v>2.8169014084507045</v>
      </c>
    </row>
    <row r="461" spans="1:19" x14ac:dyDescent="0.3">
      <c r="A461" t="s">
        <v>469</v>
      </c>
      <c r="B461" s="2">
        <v>45639</v>
      </c>
      <c r="C461" t="s">
        <v>514</v>
      </c>
      <c r="D461" t="s">
        <v>516</v>
      </c>
      <c r="E461">
        <v>6603.72</v>
      </c>
      <c r="F461">
        <v>5994.66</v>
      </c>
      <c r="G461">
        <v>55887</v>
      </c>
      <c r="H461">
        <v>1060</v>
      </c>
      <c r="I461">
        <v>202</v>
      </c>
      <c r="J461">
        <v>7633.28</v>
      </c>
      <c r="K461">
        <f t="shared" si="64"/>
        <v>1.8966843809830551</v>
      </c>
      <c r="L461">
        <f t="shared" si="65"/>
        <v>5.6553396226415096</v>
      </c>
      <c r="M461">
        <f t="shared" si="63"/>
        <v>29.676534653465346</v>
      </c>
      <c r="N461">
        <f t="shared" si="66"/>
        <v>1.2733466118178511</v>
      </c>
      <c r="O461">
        <f t="shared" si="67"/>
        <v>1638.62</v>
      </c>
      <c r="P461">
        <f t="shared" si="68"/>
        <v>-599466</v>
      </c>
      <c r="Q461">
        <f t="shared" si="69"/>
        <v>2024</v>
      </c>
      <c r="R461">
        <f t="shared" si="70"/>
        <v>12</v>
      </c>
      <c r="S461">
        <f t="shared" si="71"/>
        <v>19.056603773584907</v>
      </c>
    </row>
    <row r="462" spans="1:19" x14ac:dyDescent="0.3">
      <c r="A462" t="s">
        <v>470</v>
      </c>
      <c r="B462" s="2">
        <v>45655</v>
      </c>
      <c r="C462" t="s">
        <v>510</v>
      </c>
      <c r="D462" t="s">
        <v>516</v>
      </c>
      <c r="E462">
        <v>4144.67</v>
      </c>
      <c r="F462">
        <v>3802.01</v>
      </c>
      <c r="G462">
        <v>111392</v>
      </c>
      <c r="H462">
        <v>4309</v>
      </c>
      <c r="I462">
        <v>82</v>
      </c>
      <c r="J462">
        <v>4024.75</v>
      </c>
      <c r="K462">
        <f t="shared" si="64"/>
        <v>3.8683208848032176</v>
      </c>
      <c r="L462">
        <f t="shared" si="65"/>
        <v>0.88234161058250182</v>
      </c>
      <c r="M462">
        <f t="shared" si="63"/>
        <v>46.365975609756099</v>
      </c>
      <c r="N462">
        <f t="shared" si="66"/>
        <v>1.0585848011972614</v>
      </c>
      <c r="O462">
        <f t="shared" si="67"/>
        <v>222.73999999999978</v>
      </c>
      <c r="P462">
        <f t="shared" si="68"/>
        <v>-380201</v>
      </c>
      <c r="Q462">
        <f t="shared" si="69"/>
        <v>2024</v>
      </c>
      <c r="R462">
        <f t="shared" si="70"/>
        <v>12</v>
      </c>
      <c r="S462">
        <f t="shared" si="71"/>
        <v>1.902993734045022</v>
      </c>
    </row>
    <row r="463" spans="1:19" x14ac:dyDescent="0.3">
      <c r="A463" t="s">
        <v>471</v>
      </c>
      <c r="B463" s="2">
        <v>45776</v>
      </c>
      <c r="C463" t="s">
        <v>514</v>
      </c>
      <c r="D463" t="s">
        <v>516</v>
      </c>
      <c r="E463">
        <v>4806.93</v>
      </c>
      <c r="F463">
        <v>4792.6099999999997</v>
      </c>
      <c r="G463">
        <v>127536</v>
      </c>
      <c r="H463">
        <v>1590</v>
      </c>
      <c r="I463">
        <v>273</v>
      </c>
      <c r="J463">
        <v>8123.31</v>
      </c>
      <c r="K463">
        <f t="shared" si="64"/>
        <v>1.246706812194204</v>
      </c>
      <c r="L463">
        <f t="shared" si="65"/>
        <v>3.0142201257861632</v>
      </c>
      <c r="M463">
        <f t="shared" si="63"/>
        <v>17.555347985347986</v>
      </c>
      <c r="N463">
        <f t="shared" si="66"/>
        <v>1.6949657910825211</v>
      </c>
      <c r="O463">
        <f t="shared" si="67"/>
        <v>3330.7000000000007</v>
      </c>
      <c r="P463">
        <f t="shared" si="68"/>
        <v>-479260.99999999994</v>
      </c>
      <c r="Q463">
        <f t="shared" si="69"/>
        <v>2025</v>
      </c>
      <c r="R463">
        <f t="shared" si="70"/>
        <v>4</v>
      </c>
      <c r="S463">
        <f t="shared" si="71"/>
        <v>17.169811320754715</v>
      </c>
    </row>
    <row r="464" spans="1:19" x14ac:dyDescent="0.3">
      <c r="A464" t="s">
        <v>472</v>
      </c>
      <c r="B464" s="2">
        <v>45733</v>
      </c>
      <c r="C464" t="s">
        <v>513</v>
      </c>
      <c r="D464" t="s">
        <v>516</v>
      </c>
      <c r="E464">
        <v>8414.31</v>
      </c>
      <c r="F464">
        <v>7061.81</v>
      </c>
      <c r="G464">
        <v>72374</v>
      </c>
      <c r="H464">
        <v>1961</v>
      </c>
      <c r="I464">
        <v>102</v>
      </c>
      <c r="J464">
        <v>5007.6499999999996</v>
      </c>
      <c r="K464">
        <f t="shared" si="64"/>
        <v>2.7095365739077568</v>
      </c>
      <c r="L464">
        <f t="shared" si="65"/>
        <v>3.6011269760326368</v>
      </c>
      <c r="M464">
        <f t="shared" si="63"/>
        <v>69.23343137254902</v>
      </c>
      <c r="N464">
        <f t="shared" si="66"/>
        <v>0.70911706772059846</v>
      </c>
      <c r="O464">
        <f t="shared" si="67"/>
        <v>-2054.1600000000008</v>
      </c>
      <c r="P464">
        <f t="shared" si="68"/>
        <v>-706181</v>
      </c>
      <c r="Q464">
        <f t="shared" si="69"/>
        <v>2025</v>
      </c>
      <c r="R464">
        <f t="shared" si="70"/>
        <v>3</v>
      </c>
      <c r="S464">
        <f t="shared" si="71"/>
        <v>5.2014278429372771</v>
      </c>
    </row>
    <row r="465" spans="1:19" x14ac:dyDescent="0.3">
      <c r="A465" t="s">
        <v>473</v>
      </c>
      <c r="B465" s="2">
        <v>45736</v>
      </c>
      <c r="C465" t="s">
        <v>512</v>
      </c>
      <c r="D465" t="s">
        <v>517</v>
      </c>
      <c r="E465">
        <v>6176.53</v>
      </c>
      <c r="F465">
        <v>5378.62</v>
      </c>
      <c r="G465">
        <v>194426</v>
      </c>
      <c r="H465">
        <v>2729</v>
      </c>
      <c r="I465">
        <v>147</v>
      </c>
      <c r="J465">
        <v>3264.12</v>
      </c>
      <c r="K465">
        <f t="shared" si="64"/>
        <v>1.4036188575602029</v>
      </c>
      <c r="L465">
        <f t="shared" si="65"/>
        <v>1.9709124221326493</v>
      </c>
      <c r="M465">
        <f t="shared" si="63"/>
        <v>36.589251700680272</v>
      </c>
      <c r="N465">
        <f t="shared" si="66"/>
        <v>0.60686942003710986</v>
      </c>
      <c r="O465">
        <f t="shared" si="67"/>
        <v>-2114.5</v>
      </c>
      <c r="P465">
        <f t="shared" si="68"/>
        <v>-537862</v>
      </c>
      <c r="Q465">
        <f t="shared" si="69"/>
        <v>2025</v>
      </c>
      <c r="R465">
        <f t="shared" si="70"/>
        <v>3</v>
      </c>
      <c r="S465">
        <f t="shared" si="71"/>
        <v>5.3865884939538287</v>
      </c>
    </row>
    <row r="466" spans="1:19" x14ac:dyDescent="0.3">
      <c r="A466" t="s">
        <v>474</v>
      </c>
      <c r="B466" s="2">
        <v>45761</v>
      </c>
      <c r="C466" t="s">
        <v>513</v>
      </c>
      <c r="D466" t="s">
        <v>516</v>
      </c>
      <c r="E466">
        <v>4188.3100000000004</v>
      </c>
      <c r="F466">
        <v>4003.74</v>
      </c>
      <c r="G466">
        <v>63381</v>
      </c>
      <c r="H466">
        <v>1826</v>
      </c>
      <c r="I466">
        <v>231</v>
      </c>
      <c r="J466">
        <v>6955.43</v>
      </c>
      <c r="K466">
        <f t="shared" si="64"/>
        <v>2.8809895710070843</v>
      </c>
      <c r="L466">
        <f t="shared" si="65"/>
        <v>2.1926286966046002</v>
      </c>
      <c r="M466">
        <f t="shared" si="63"/>
        <v>17.33220779220779</v>
      </c>
      <c r="N466">
        <f t="shared" si="66"/>
        <v>1.7372331869701831</v>
      </c>
      <c r="O466">
        <f t="shared" si="67"/>
        <v>2951.6900000000005</v>
      </c>
      <c r="P466">
        <f t="shared" si="68"/>
        <v>-400374</v>
      </c>
      <c r="Q466">
        <f t="shared" si="69"/>
        <v>2025</v>
      </c>
      <c r="R466">
        <f t="shared" si="70"/>
        <v>4</v>
      </c>
      <c r="S466">
        <f t="shared" si="71"/>
        <v>12.650602409638553</v>
      </c>
    </row>
    <row r="467" spans="1:19" x14ac:dyDescent="0.3">
      <c r="A467" t="s">
        <v>475</v>
      </c>
      <c r="B467" s="2">
        <v>45719</v>
      </c>
      <c r="C467" t="s">
        <v>514</v>
      </c>
      <c r="D467" t="s">
        <v>516</v>
      </c>
      <c r="E467">
        <v>8802.18</v>
      </c>
      <c r="F467">
        <v>8179.57</v>
      </c>
      <c r="G467">
        <v>109943</v>
      </c>
      <c r="H467">
        <v>4843</v>
      </c>
      <c r="I467">
        <v>579</v>
      </c>
      <c r="J467">
        <v>15900.17</v>
      </c>
      <c r="K467">
        <f t="shared" si="64"/>
        <v>4.4050098687501702</v>
      </c>
      <c r="L467">
        <f t="shared" si="65"/>
        <v>1.6889469337187692</v>
      </c>
      <c r="M467">
        <f t="shared" si="63"/>
        <v>14.127063903281519</v>
      </c>
      <c r="N467">
        <f t="shared" si="66"/>
        <v>1.9438882484042561</v>
      </c>
      <c r="O467">
        <f t="shared" si="67"/>
        <v>7720.6</v>
      </c>
      <c r="P467">
        <f t="shared" si="68"/>
        <v>-817957</v>
      </c>
      <c r="Q467">
        <f t="shared" si="69"/>
        <v>2025</v>
      </c>
      <c r="R467">
        <f t="shared" si="70"/>
        <v>3</v>
      </c>
      <c r="S467">
        <f t="shared" si="71"/>
        <v>11.955399545736114</v>
      </c>
    </row>
    <row r="468" spans="1:19" x14ac:dyDescent="0.3">
      <c r="A468" t="s">
        <v>476</v>
      </c>
      <c r="B468" s="2">
        <v>45768</v>
      </c>
      <c r="C468" t="s">
        <v>513</v>
      </c>
      <c r="D468" t="s">
        <v>518</v>
      </c>
      <c r="E468">
        <v>7320.01</v>
      </c>
      <c r="F468">
        <v>7408.09</v>
      </c>
      <c r="G468">
        <v>142900</v>
      </c>
      <c r="H468">
        <v>3707</v>
      </c>
      <c r="I468">
        <v>151</v>
      </c>
      <c r="J468">
        <v>3776.7</v>
      </c>
      <c r="K468">
        <f t="shared" si="64"/>
        <v>2.5941217634709588</v>
      </c>
      <c r="L468">
        <f t="shared" si="65"/>
        <v>1.99840571891017</v>
      </c>
      <c r="M468">
        <f t="shared" si="63"/>
        <v>49.060198675496693</v>
      </c>
      <c r="N468">
        <f t="shared" si="66"/>
        <v>0.50980752123691797</v>
      </c>
      <c r="O468">
        <f t="shared" si="67"/>
        <v>-3631.3900000000003</v>
      </c>
      <c r="P468">
        <f t="shared" si="68"/>
        <v>-740809</v>
      </c>
      <c r="Q468">
        <f t="shared" si="69"/>
        <v>2025</v>
      </c>
      <c r="R468">
        <f t="shared" si="70"/>
        <v>4</v>
      </c>
      <c r="S468">
        <f t="shared" si="71"/>
        <v>4.073374696520097</v>
      </c>
    </row>
    <row r="469" spans="1:19" x14ac:dyDescent="0.3">
      <c r="A469" t="s">
        <v>477</v>
      </c>
      <c r="B469" s="2">
        <v>45666</v>
      </c>
      <c r="C469" t="s">
        <v>513</v>
      </c>
      <c r="D469" t="s">
        <v>517</v>
      </c>
      <c r="E469">
        <v>4173.33</v>
      </c>
      <c r="F469">
        <v>3384.58</v>
      </c>
      <c r="G469">
        <v>197974</v>
      </c>
      <c r="H469">
        <v>4601</v>
      </c>
      <c r="I469">
        <v>675</v>
      </c>
      <c r="J469">
        <v>28412.14</v>
      </c>
      <c r="K469">
        <f t="shared" si="64"/>
        <v>2.3240425510420559</v>
      </c>
      <c r="L469">
        <f t="shared" si="65"/>
        <v>0.73561834383829605</v>
      </c>
      <c r="M469">
        <f t="shared" si="63"/>
        <v>5.0141925925925923</v>
      </c>
      <c r="N469">
        <f t="shared" si="66"/>
        <v>8.3945836706474655</v>
      </c>
      <c r="O469">
        <f t="shared" si="67"/>
        <v>25027.559999999998</v>
      </c>
      <c r="P469">
        <f t="shared" si="68"/>
        <v>-338458.00000000017</v>
      </c>
      <c r="Q469">
        <f t="shared" si="69"/>
        <v>2025</v>
      </c>
      <c r="R469">
        <f t="shared" si="70"/>
        <v>1</v>
      </c>
      <c r="S469">
        <f t="shared" si="71"/>
        <v>14.67072375570528</v>
      </c>
    </row>
    <row r="470" spans="1:19" x14ac:dyDescent="0.3">
      <c r="A470" t="s">
        <v>478</v>
      </c>
      <c r="B470" s="2">
        <v>45811</v>
      </c>
      <c r="C470" t="s">
        <v>510</v>
      </c>
      <c r="D470" t="s">
        <v>516</v>
      </c>
      <c r="E470">
        <v>7646.63</v>
      </c>
      <c r="F470">
        <v>7206.1</v>
      </c>
      <c r="G470">
        <v>102196</v>
      </c>
      <c r="H470">
        <v>4290</v>
      </c>
      <c r="I470">
        <v>391</v>
      </c>
      <c r="J470">
        <v>17722.12</v>
      </c>
      <c r="K470">
        <f t="shared" si="64"/>
        <v>4.1978159614857722</v>
      </c>
      <c r="L470">
        <f t="shared" si="65"/>
        <v>1.6797435897435897</v>
      </c>
      <c r="M470">
        <f t="shared" si="63"/>
        <v>18.429923273657291</v>
      </c>
      <c r="N470">
        <f t="shared" si="66"/>
        <v>2.4593219633366172</v>
      </c>
      <c r="O470">
        <f t="shared" si="67"/>
        <v>10516.019999999999</v>
      </c>
      <c r="P470">
        <f t="shared" si="68"/>
        <v>-720610</v>
      </c>
      <c r="Q470">
        <f t="shared" si="69"/>
        <v>2025</v>
      </c>
      <c r="R470">
        <f t="shared" si="70"/>
        <v>6</v>
      </c>
      <c r="S470">
        <f t="shared" si="71"/>
        <v>9.1142191142191145</v>
      </c>
    </row>
    <row r="471" spans="1:19" x14ac:dyDescent="0.3">
      <c r="A471" t="s">
        <v>479</v>
      </c>
      <c r="B471" s="2">
        <v>45686</v>
      </c>
      <c r="C471" t="s">
        <v>510</v>
      </c>
      <c r="D471" t="s">
        <v>515</v>
      </c>
      <c r="E471">
        <v>8639.69</v>
      </c>
      <c r="F471">
        <v>8428.94</v>
      </c>
      <c r="G471">
        <v>72102</v>
      </c>
      <c r="H471">
        <v>2351</v>
      </c>
      <c r="I471">
        <v>159</v>
      </c>
      <c r="J471">
        <v>7321.65</v>
      </c>
      <c r="K471">
        <f t="shared" si="64"/>
        <v>3.2606585115530775</v>
      </c>
      <c r="L471">
        <f t="shared" si="65"/>
        <v>3.5852573373032754</v>
      </c>
      <c r="M471">
        <f t="shared" si="63"/>
        <v>53.012201257861641</v>
      </c>
      <c r="N471">
        <f t="shared" si="66"/>
        <v>0.86863235472075961</v>
      </c>
      <c r="O471">
        <f t="shared" si="67"/>
        <v>-1107.2900000000009</v>
      </c>
      <c r="P471">
        <f t="shared" si="68"/>
        <v>-842894</v>
      </c>
      <c r="Q471">
        <f t="shared" si="69"/>
        <v>2025</v>
      </c>
      <c r="R471">
        <f t="shared" si="70"/>
        <v>1</v>
      </c>
      <c r="S471">
        <f t="shared" si="71"/>
        <v>6.7630795406210131</v>
      </c>
    </row>
    <row r="472" spans="1:19" x14ac:dyDescent="0.3">
      <c r="A472" t="s">
        <v>480</v>
      </c>
      <c r="B472" s="2">
        <v>45806</v>
      </c>
      <c r="C472" t="s">
        <v>510</v>
      </c>
      <c r="D472" t="s">
        <v>517</v>
      </c>
      <c r="E472">
        <v>4440.8900000000003</v>
      </c>
      <c r="F472">
        <v>3701.82</v>
      </c>
      <c r="G472">
        <v>138622</v>
      </c>
      <c r="H472">
        <v>4757</v>
      </c>
      <c r="I472">
        <v>629</v>
      </c>
      <c r="J472">
        <v>17670.18</v>
      </c>
      <c r="K472">
        <f t="shared" si="64"/>
        <v>3.4316342283331651</v>
      </c>
      <c r="L472">
        <f t="shared" si="65"/>
        <v>0.77818372924111834</v>
      </c>
      <c r="M472">
        <f t="shared" si="63"/>
        <v>5.8852464228934815</v>
      </c>
      <c r="N472">
        <f t="shared" si="66"/>
        <v>4.7733763392061199</v>
      </c>
      <c r="O472">
        <f t="shared" si="67"/>
        <v>13968.36</v>
      </c>
      <c r="P472">
        <f t="shared" si="68"/>
        <v>-370182</v>
      </c>
      <c r="Q472">
        <f t="shared" si="69"/>
        <v>2025</v>
      </c>
      <c r="R472">
        <f t="shared" si="70"/>
        <v>5</v>
      </c>
      <c r="S472">
        <f t="shared" si="71"/>
        <v>13.222619297876815</v>
      </c>
    </row>
    <row r="473" spans="1:19" x14ac:dyDescent="0.3">
      <c r="A473" t="s">
        <v>481</v>
      </c>
      <c r="B473" s="2">
        <v>45654</v>
      </c>
      <c r="C473" t="s">
        <v>514</v>
      </c>
      <c r="D473" t="s">
        <v>516</v>
      </c>
      <c r="E473">
        <v>3399.61</v>
      </c>
      <c r="F473">
        <v>3261.42</v>
      </c>
      <c r="G473">
        <v>75127</v>
      </c>
      <c r="H473">
        <v>3158</v>
      </c>
      <c r="I473">
        <v>620</v>
      </c>
      <c r="J473">
        <v>29820.87</v>
      </c>
      <c r="K473">
        <f t="shared" si="64"/>
        <v>4.2035486576064534</v>
      </c>
      <c r="L473">
        <f t="shared" si="65"/>
        <v>1.0327485750474985</v>
      </c>
      <c r="M473">
        <f t="shared" si="63"/>
        <v>5.2603548387096772</v>
      </c>
      <c r="N473">
        <f t="shared" si="66"/>
        <v>9.1435233732545935</v>
      </c>
      <c r="O473">
        <f t="shared" si="67"/>
        <v>26559.449999999997</v>
      </c>
      <c r="P473">
        <f t="shared" si="68"/>
        <v>-326142.00000000017</v>
      </c>
      <c r="Q473">
        <f t="shared" si="69"/>
        <v>2024</v>
      </c>
      <c r="R473">
        <f t="shared" si="70"/>
        <v>12</v>
      </c>
      <c r="S473">
        <f t="shared" si="71"/>
        <v>19.632678910702978</v>
      </c>
    </row>
    <row r="474" spans="1:19" x14ac:dyDescent="0.3">
      <c r="A474" t="s">
        <v>482</v>
      </c>
      <c r="B474" s="2">
        <v>45674</v>
      </c>
      <c r="C474" t="s">
        <v>513</v>
      </c>
      <c r="D474" t="s">
        <v>517</v>
      </c>
      <c r="E474">
        <v>3275.4</v>
      </c>
      <c r="F474">
        <v>2740.31</v>
      </c>
      <c r="G474">
        <v>65706</v>
      </c>
      <c r="H474">
        <v>3012</v>
      </c>
      <c r="I474">
        <v>475</v>
      </c>
      <c r="J474">
        <v>15943.84</v>
      </c>
      <c r="K474">
        <f t="shared" si="64"/>
        <v>4.5840562505707245</v>
      </c>
      <c r="L474">
        <f t="shared" si="65"/>
        <v>0.90979747675962819</v>
      </c>
      <c r="M474">
        <f t="shared" si="63"/>
        <v>5.7690736842105261</v>
      </c>
      <c r="N474">
        <f t="shared" si="66"/>
        <v>5.8182614375745816</v>
      </c>
      <c r="O474">
        <f t="shared" si="67"/>
        <v>13203.53</v>
      </c>
      <c r="P474">
        <f t="shared" si="68"/>
        <v>-274030.99999999994</v>
      </c>
      <c r="Q474">
        <f t="shared" si="69"/>
        <v>2025</v>
      </c>
      <c r="R474">
        <f t="shared" si="70"/>
        <v>1</v>
      </c>
      <c r="S474">
        <f t="shared" si="71"/>
        <v>15.770252324037184</v>
      </c>
    </row>
    <row r="475" spans="1:19" x14ac:dyDescent="0.3">
      <c r="A475" t="s">
        <v>483</v>
      </c>
      <c r="B475" s="2">
        <v>45782</v>
      </c>
      <c r="C475" t="s">
        <v>514</v>
      </c>
      <c r="D475" t="s">
        <v>516</v>
      </c>
      <c r="E475">
        <v>9537.1299999999992</v>
      </c>
      <c r="F475">
        <v>8534.27</v>
      </c>
      <c r="G475">
        <v>59862</v>
      </c>
      <c r="H475">
        <v>2333</v>
      </c>
      <c r="I475">
        <v>272</v>
      </c>
      <c r="J475">
        <v>9579.0400000000009</v>
      </c>
      <c r="K475">
        <f t="shared" si="64"/>
        <v>3.8972971167017469</v>
      </c>
      <c r="L475">
        <f t="shared" si="65"/>
        <v>3.6580668666952425</v>
      </c>
      <c r="M475">
        <f t="shared" si="63"/>
        <v>31.375992647058826</v>
      </c>
      <c r="N475">
        <f t="shared" si="66"/>
        <v>1.1224205468071669</v>
      </c>
      <c r="O475">
        <f t="shared" si="67"/>
        <v>1044.7700000000004</v>
      </c>
      <c r="P475">
        <f t="shared" si="68"/>
        <v>-853427</v>
      </c>
      <c r="Q475">
        <f t="shared" si="69"/>
        <v>2025</v>
      </c>
      <c r="R475">
        <f t="shared" si="70"/>
        <v>5</v>
      </c>
      <c r="S475">
        <f t="shared" si="71"/>
        <v>11.658808401200172</v>
      </c>
    </row>
    <row r="476" spans="1:19" x14ac:dyDescent="0.3">
      <c r="A476" t="s">
        <v>484</v>
      </c>
      <c r="B476" s="2">
        <v>45658</v>
      </c>
      <c r="C476" t="s">
        <v>513</v>
      </c>
      <c r="D476" t="s">
        <v>517</v>
      </c>
      <c r="E476">
        <v>3291.01</v>
      </c>
      <c r="F476">
        <v>2779.27</v>
      </c>
      <c r="G476">
        <v>74195</v>
      </c>
      <c r="H476">
        <v>2526</v>
      </c>
      <c r="I476">
        <v>392</v>
      </c>
      <c r="J476">
        <v>19442.77</v>
      </c>
      <c r="K476">
        <f t="shared" si="64"/>
        <v>3.4045420850461623</v>
      </c>
      <c r="L476">
        <f t="shared" si="65"/>
        <v>1.1002652414885195</v>
      </c>
      <c r="M476">
        <f t="shared" si="63"/>
        <v>7.0899744897959183</v>
      </c>
      <c r="N476">
        <f t="shared" si="66"/>
        <v>6.9956391426525668</v>
      </c>
      <c r="O476">
        <f t="shared" si="67"/>
        <v>16663.5</v>
      </c>
      <c r="P476">
        <f t="shared" si="68"/>
        <v>-277927.00000000006</v>
      </c>
      <c r="Q476">
        <f t="shared" si="69"/>
        <v>2025</v>
      </c>
      <c r="R476">
        <f t="shared" si="70"/>
        <v>1</v>
      </c>
      <c r="S476">
        <f t="shared" si="71"/>
        <v>15.518606492478227</v>
      </c>
    </row>
    <row r="477" spans="1:19" x14ac:dyDescent="0.3">
      <c r="A477" t="s">
        <v>485</v>
      </c>
      <c r="B477" s="2">
        <v>45682</v>
      </c>
      <c r="C477" t="s">
        <v>514</v>
      </c>
      <c r="D477" t="s">
        <v>517</v>
      </c>
      <c r="E477">
        <v>9755.83</v>
      </c>
      <c r="F477">
        <v>7819.12</v>
      </c>
      <c r="G477">
        <v>175747</v>
      </c>
      <c r="H477">
        <v>7548</v>
      </c>
      <c r="I477">
        <v>1026</v>
      </c>
      <c r="J477">
        <v>49816.77</v>
      </c>
      <c r="K477">
        <f t="shared" si="64"/>
        <v>4.2948101532316336</v>
      </c>
      <c r="L477">
        <f t="shared" si="65"/>
        <v>1.0359194488606254</v>
      </c>
      <c r="M477">
        <f t="shared" si="63"/>
        <v>7.6209746588693958</v>
      </c>
      <c r="N477">
        <f t="shared" si="66"/>
        <v>6.3711479041119716</v>
      </c>
      <c r="O477">
        <f t="shared" si="67"/>
        <v>41997.649999999994</v>
      </c>
      <c r="P477">
        <f t="shared" si="68"/>
        <v>-781912.00000000023</v>
      </c>
      <c r="Q477">
        <f t="shared" si="69"/>
        <v>2025</v>
      </c>
      <c r="R477">
        <f t="shared" si="70"/>
        <v>1</v>
      </c>
      <c r="S477">
        <f t="shared" si="71"/>
        <v>13.593004769475359</v>
      </c>
    </row>
    <row r="478" spans="1:19" x14ac:dyDescent="0.3">
      <c r="A478" t="s">
        <v>486</v>
      </c>
      <c r="B478" s="2">
        <v>45684</v>
      </c>
      <c r="C478" t="s">
        <v>511</v>
      </c>
      <c r="D478" t="s">
        <v>518</v>
      </c>
      <c r="E478">
        <v>7473.84</v>
      </c>
      <c r="F478">
        <v>7925.08</v>
      </c>
      <c r="G478">
        <v>150368</v>
      </c>
      <c r="H478">
        <v>2680</v>
      </c>
      <c r="I478">
        <v>75</v>
      </c>
      <c r="J478">
        <v>2523.16</v>
      </c>
      <c r="K478">
        <f t="shared" si="64"/>
        <v>1.7822941051287506</v>
      </c>
      <c r="L478">
        <f t="shared" si="65"/>
        <v>2.9571194029850747</v>
      </c>
      <c r="M478">
        <f t="shared" si="63"/>
        <v>105.66773333333333</v>
      </c>
      <c r="N478">
        <f t="shared" si="66"/>
        <v>0.31837659682930641</v>
      </c>
      <c r="O478">
        <f t="shared" si="67"/>
        <v>-5401.92</v>
      </c>
      <c r="P478">
        <f t="shared" si="68"/>
        <v>-792508</v>
      </c>
      <c r="Q478">
        <f t="shared" si="69"/>
        <v>2025</v>
      </c>
      <c r="R478">
        <f t="shared" si="70"/>
        <v>1</v>
      </c>
      <c r="S478">
        <f t="shared" si="71"/>
        <v>2.7985074626865671</v>
      </c>
    </row>
    <row r="479" spans="1:19" x14ac:dyDescent="0.3">
      <c r="A479" t="s">
        <v>487</v>
      </c>
      <c r="B479" s="2">
        <v>45802</v>
      </c>
      <c r="C479" t="s">
        <v>513</v>
      </c>
      <c r="D479" t="s">
        <v>518</v>
      </c>
      <c r="E479">
        <v>6609.17</v>
      </c>
      <c r="F479">
        <v>6256.6</v>
      </c>
      <c r="G479">
        <v>199789</v>
      </c>
      <c r="H479">
        <v>2837</v>
      </c>
      <c r="I479">
        <v>387</v>
      </c>
      <c r="J479">
        <v>15482.29</v>
      </c>
      <c r="K479">
        <f t="shared" si="64"/>
        <v>1.4199980979933828</v>
      </c>
      <c r="L479">
        <f t="shared" si="65"/>
        <v>2.2053577722946778</v>
      </c>
      <c r="M479">
        <f t="shared" si="63"/>
        <v>16.166925064599486</v>
      </c>
      <c r="N479">
        <f t="shared" si="66"/>
        <v>2.4745532717450374</v>
      </c>
      <c r="O479">
        <f t="shared" si="67"/>
        <v>9225.69</v>
      </c>
      <c r="P479">
        <f t="shared" si="68"/>
        <v>-625660</v>
      </c>
      <c r="Q479">
        <f t="shared" si="69"/>
        <v>2025</v>
      </c>
      <c r="R479">
        <f t="shared" si="70"/>
        <v>5</v>
      </c>
      <c r="S479">
        <f t="shared" si="71"/>
        <v>13.641170250264365</v>
      </c>
    </row>
    <row r="480" spans="1:19" x14ac:dyDescent="0.3">
      <c r="A480" t="s">
        <v>488</v>
      </c>
      <c r="B480" s="2">
        <v>45778</v>
      </c>
      <c r="C480" t="s">
        <v>514</v>
      </c>
      <c r="D480" t="s">
        <v>516</v>
      </c>
      <c r="E480">
        <v>3977.56</v>
      </c>
      <c r="F480">
        <v>3217.81</v>
      </c>
      <c r="G480">
        <v>183098</v>
      </c>
      <c r="H480">
        <v>3716</v>
      </c>
      <c r="I480">
        <v>153</v>
      </c>
      <c r="J480">
        <v>4473.3999999999996</v>
      </c>
      <c r="K480">
        <f t="shared" si="64"/>
        <v>2.0295142491998819</v>
      </c>
      <c r="L480">
        <f t="shared" si="65"/>
        <v>0.86593379978471474</v>
      </c>
      <c r="M480">
        <f t="shared" si="63"/>
        <v>21.031437908496731</v>
      </c>
      <c r="N480">
        <f t="shared" si="66"/>
        <v>1.3902001671944582</v>
      </c>
      <c r="O480">
        <f t="shared" si="67"/>
        <v>1255.5899999999997</v>
      </c>
      <c r="P480">
        <f t="shared" si="68"/>
        <v>-321781</v>
      </c>
      <c r="Q480">
        <f t="shared" si="69"/>
        <v>2025</v>
      </c>
      <c r="R480">
        <f t="shared" si="70"/>
        <v>5</v>
      </c>
      <c r="S480">
        <f t="shared" si="71"/>
        <v>4.1173304628632934</v>
      </c>
    </row>
    <row r="481" spans="1:19" x14ac:dyDescent="0.3">
      <c r="A481" t="s">
        <v>489</v>
      </c>
      <c r="B481" s="2">
        <v>45773</v>
      </c>
      <c r="C481" t="s">
        <v>510</v>
      </c>
      <c r="D481" t="s">
        <v>518</v>
      </c>
      <c r="E481">
        <v>7932.77</v>
      </c>
      <c r="F481">
        <v>6826.59</v>
      </c>
      <c r="G481">
        <v>170452</v>
      </c>
      <c r="H481">
        <v>8283</v>
      </c>
      <c r="I481">
        <v>370</v>
      </c>
      <c r="J481">
        <v>14875.1</v>
      </c>
      <c r="K481">
        <f t="shared" si="64"/>
        <v>4.8594325675263415</v>
      </c>
      <c r="L481">
        <f t="shared" si="65"/>
        <v>0.82416877942774358</v>
      </c>
      <c r="M481">
        <f t="shared" si="63"/>
        <v>18.450243243243243</v>
      </c>
      <c r="N481">
        <f t="shared" si="66"/>
        <v>2.1789941976887435</v>
      </c>
      <c r="O481">
        <f t="shared" si="67"/>
        <v>8048.51</v>
      </c>
      <c r="P481">
        <f t="shared" si="68"/>
        <v>-682659</v>
      </c>
      <c r="Q481">
        <f t="shared" si="69"/>
        <v>2025</v>
      </c>
      <c r="R481">
        <f t="shared" si="70"/>
        <v>4</v>
      </c>
      <c r="S481">
        <f t="shared" si="71"/>
        <v>4.466980562598093</v>
      </c>
    </row>
    <row r="482" spans="1:19" x14ac:dyDescent="0.3">
      <c r="A482" t="s">
        <v>490</v>
      </c>
      <c r="B482" s="2">
        <v>45710</v>
      </c>
      <c r="C482" t="s">
        <v>511</v>
      </c>
      <c r="D482" t="s">
        <v>518</v>
      </c>
      <c r="E482">
        <v>9789.3799999999992</v>
      </c>
      <c r="F482">
        <v>8107.27</v>
      </c>
      <c r="G482">
        <v>118097</v>
      </c>
      <c r="H482">
        <v>1117</v>
      </c>
      <c r="I482">
        <v>118</v>
      </c>
      <c r="J482">
        <v>4741.01</v>
      </c>
      <c r="K482">
        <f t="shared" si="64"/>
        <v>0.94583266298043145</v>
      </c>
      <c r="L482">
        <f t="shared" si="65"/>
        <v>7.2580752014324084</v>
      </c>
      <c r="M482">
        <f t="shared" si="63"/>
        <v>68.705677966101703</v>
      </c>
      <c r="N482">
        <f t="shared" si="66"/>
        <v>0.58478501394427473</v>
      </c>
      <c r="O482">
        <f t="shared" si="67"/>
        <v>-3366.26</v>
      </c>
      <c r="P482">
        <f t="shared" si="68"/>
        <v>-810727</v>
      </c>
      <c r="Q482">
        <f t="shared" si="69"/>
        <v>2025</v>
      </c>
      <c r="R482">
        <f t="shared" si="70"/>
        <v>2</v>
      </c>
      <c r="S482">
        <f t="shared" si="71"/>
        <v>10.564010743061774</v>
      </c>
    </row>
    <row r="483" spans="1:19" x14ac:dyDescent="0.3">
      <c r="A483" t="s">
        <v>491</v>
      </c>
      <c r="B483" s="2">
        <v>45804</v>
      </c>
      <c r="C483" t="s">
        <v>510</v>
      </c>
      <c r="D483" t="s">
        <v>516</v>
      </c>
      <c r="E483">
        <v>6106.25</v>
      </c>
      <c r="F483">
        <v>6475.33</v>
      </c>
      <c r="G483">
        <v>115700</v>
      </c>
      <c r="H483">
        <v>2582</v>
      </c>
      <c r="I483">
        <v>147</v>
      </c>
      <c r="J483">
        <v>3721.23</v>
      </c>
      <c r="K483">
        <f t="shared" si="64"/>
        <v>2.2316335350043217</v>
      </c>
      <c r="L483">
        <f t="shared" si="65"/>
        <v>2.5078737412858247</v>
      </c>
      <c r="M483">
        <f t="shared" si="63"/>
        <v>44.049863945578231</v>
      </c>
      <c r="N483">
        <f t="shared" si="66"/>
        <v>0.57467804729643124</v>
      </c>
      <c r="O483">
        <f t="shared" si="67"/>
        <v>-2754.1</v>
      </c>
      <c r="P483">
        <f t="shared" si="68"/>
        <v>-647533</v>
      </c>
      <c r="Q483">
        <f t="shared" si="69"/>
        <v>2025</v>
      </c>
      <c r="R483">
        <f t="shared" si="70"/>
        <v>5</v>
      </c>
      <c r="S483">
        <f t="shared" si="71"/>
        <v>5.6932610379550734</v>
      </c>
    </row>
    <row r="484" spans="1:19" x14ac:dyDescent="0.3">
      <c r="A484" t="s">
        <v>492</v>
      </c>
      <c r="B484" s="2">
        <v>45710</v>
      </c>
      <c r="C484" t="s">
        <v>512</v>
      </c>
      <c r="D484" t="s">
        <v>517</v>
      </c>
      <c r="E484">
        <v>7848.38</v>
      </c>
      <c r="F484">
        <v>8252.06</v>
      </c>
      <c r="G484">
        <v>55522</v>
      </c>
      <c r="H484">
        <v>2245</v>
      </c>
      <c r="I484">
        <v>185</v>
      </c>
      <c r="J484">
        <v>8942.61</v>
      </c>
      <c r="K484">
        <f t="shared" si="64"/>
        <v>4.0434422391124238</v>
      </c>
      <c r="L484">
        <f t="shared" si="65"/>
        <v>3.675750556792873</v>
      </c>
      <c r="M484">
        <f t="shared" si="63"/>
        <v>44.605729729729724</v>
      </c>
      <c r="N484">
        <f t="shared" si="66"/>
        <v>1.0836821351274712</v>
      </c>
      <c r="O484">
        <f t="shared" si="67"/>
        <v>690.55000000000109</v>
      </c>
      <c r="P484">
        <f t="shared" si="68"/>
        <v>-825206</v>
      </c>
      <c r="Q484">
        <f t="shared" si="69"/>
        <v>2025</v>
      </c>
      <c r="R484">
        <f t="shared" si="70"/>
        <v>2</v>
      </c>
      <c r="S484">
        <f t="shared" si="71"/>
        <v>8.2405345211581285</v>
      </c>
    </row>
    <row r="485" spans="1:19" x14ac:dyDescent="0.3">
      <c r="A485" t="s">
        <v>493</v>
      </c>
      <c r="B485" s="2">
        <v>45775</v>
      </c>
      <c r="C485" t="s">
        <v>511</v>
      </c>
      <c r="D485" t="s">
        <v>516</v>
      </c>
      <c r="E485">
        <v>7782.74</v>
      </c>
      <c r="F485">
        <v>7387.01</v>
      </c>
      <c r="G485">
        <v>150531</v>
      </c>
      <c r="H485">
        <v>3586</v>
      </c>
      <c r="I485">
        <v>622</v>
      </c>
      <c r="J485">
        <v>23969.03</v>
      </c>
      <c r="K485">
        <f t="shared" si="64"/>
        <v>2.3822335598647455</v>
      </c>
      <c r="L485">
        <f t="shared" si="65"/>
        <v>2.059958170663692</v>
      </c>
      <c r="M485">
        <f t="shared" si="63"/>
        <v>11.876221864951768</v>
      </c>
      <c r="N485">
        <f t="shared" si="66"/>
        <v>3.24475396676057</v>
      </c>
      <c r="O485">
        <f t="shared" si="67"/>
        <v>16582.019999999997</v>
      </c>
      <c r="P485">
        <f t="shared" si="68"/>
        <v>-738701.00000000023</v>
      </c>
      <c r="Q485">
        <f t="shared" si="69"/>
        <v>2025</v>
      </c>
      <c r="R485">
        <f t="shared" si="70"/>
        <v>4</v>
      </c>
      <c r="S485">
        <f t="shared" si="71"/>
        <v>17.345231455660905</v>
      </c>
    </row>
    <row r="486" spans="1:19" x14ac:dyDescent="0.3">
      <c r="A486" t="s">
        <v>494</v>
      </c>
      <c r="B486" s="2">
        <v>45752</v>
      </c>
      <c r="C486" t="s">
        <v>513</v>
      </c>
      <c r="D486" t="s">
        <v>516</v>
      </c>
      <c r="E486">
        <v>9082.33</v>
      </c>
      <c r="F486">
        <v>8820.6</v>
      </c>
      <c r="G486">
        <v>103488</v>
      </c>
      <c r="H486">
        <v>2459</v>
      </c>
      <c r="I486">
        <v>416</v>
      </c>
      <c r="J486">
        <v>8699.23</v>
      </c>
      <c r="K486">
        <f t="shared" si="64"/>
        <v>2.3761209029066173</v>
      </c>
      <c r="L486">
        <f t="shared" si="65"/>
        <v>3.5870679137860919</v>
      </c>
      <c r="M486">
        <f t="shared" si="63"/>
        <v>21.203365384615385</v>
      </c>
      <c r="N486">
        <f t="shared" si="66"/>
        <v>0.98624016506813583</v>
      </c>
      <c r="O486">
        <f t="shared" si="67"/>
        <v>-121.3700000000008</v>
      </c>
      <c r="P486">
        <f t="shared" si="68"/>
        <v>-882060</v>
      </c>
      <c r="Q486">
        <f t="shared" si="69"/>
        <v>2025</v>
      </c>
      <c r="R486">
        <f t="shared" si="70"/>
        <v>4</v>
      </c>
      <c r="S486">
        <f t="shared" si="71"/>
        <v>16.917446116307442</v>
      </c>
    </row>
    <row r="487" spans="1:19" x14ac:dyDescent="0.3">
      <c r="A487" t="s">
        <v>495</v>
      </c>
      <c r="B487" s="2">
        <v>45674</v>
      </c>
      <c r="C487" t="s">
        <v>514</v>
      </c>
      <c r="D487" t="s">
        <v>517</v>
      </c>
      <c r="E487">
        <v>9516.64</v>
      </c>
      <c r="F487">
        <v>9581.91</v>
      </c>
      <c r="G487">
        <v>84687</v>
      </c>
      <c r="H487">
        <v>2681</v>
      </c>
      <c r="I487">
        <v>448</v>
      </c>
      <c r="J487">
        <v>18052.34</v>
      </c>
      <c r="K487">
        <f t="shared" si="64"/>
        <v>3.1657751484879615</v>
      </c>
      <c r="L487">
        <f t="shared" si="65"/>
        <v>3.574005967922417</v>
      </c>
      <c r="M487">
        <f t="shared" si="63"/>
        <v>21.388191964285713</v>
      </c>
      <c r="N487">
        <f t="shared" si="66"/>
        <v>1.8840022500733153</v>
      </c>
      <c r="O487">
        <f t="shared" si="67"/>
        <v>8470.43</v>
      </c>
      <c r="P487">
        <f t="shared" si="68"/>
        <v>-958191</v>
      </c>
      <c r="Q487">
        <f t="shared" si="69"/>
        <v>2025</v>
      </c>
      <c r="R487">
        <f t="shared" si="70"/>
        <v>1</v>
      </c>
      <c r="S487">
        <f t="shared" si="71"/>
        <v>16.710182767624023</v>
      </c>
    </row>
    <row r="488" spans="1:19" x14ac:dyDescent="0.3">
      <c r="A488" t="s">
        <v>496</v>
      </c>
      <c r="B488" s="2">
        <v>45695</v>
      </c>
      <c r="C488" t="s">
        <v>514</v>
      </c>
      <c r="D488" t="s">
        <v>517</v>
      </c>
      <c r="E488">
        <v>4509.7299999999996</v>
      </c>
      <c r="F488">
        <v>4499.2</v>
      </c>
      <c r="G488">
        <v>147771</v>
      </c>
      <c r="H488">
        <v>5682</v>
      </c>
      <c r="I488">
        <v>699</v>
      </c>
      <c r="J488">
        <v>22239.34</v>
      </c>
      <c r="K488">
        <f t="shared" si="64"/>
        <v>3.8451387620033701</v>
      </c>
      <c r="L488">
        <f t="shared" si="65"/>
        <v>0.79183386131643785</v>
      </c>
      <c r="M488">
        <f t="shared" si="63"/>
        <v>6.4366237482117308</v>
      </c>
      <c r="N488">
        <f t="shared" si="66"/>
        <v>4.9429543029871983</v>
      </c>
      <c r="O488">
        <f t="shared" si="67"/>
        <v>17740.14</v>
      </c>
      <c r="P488">
        <f t="shared" si="68"/>
        <v>-449920.00000000006</v>
      </c>
      <c r="Q488">
        <f t="shared" si="69"/>
        <v>2025</v>
      </c>
      <c r="R488">
        <f t="shared" si="70"/>
        <v>2</v>
      </c>
      <c r="S488">
        <f t="shared" si="71"/>
        <v>12.302006335797254</v>
      </c>
    </row>
    <row r="489" spans="1:19" x14ac:dyDescent="0.3">
      <c r="A489" t="s">
        <v>497</v>
      </c>
      <c r="B489" s="2">
        <v>45708</v>
      </c>
      <c r="C489" t="s">
        <v>510</v>
      </c>
      <c r="D489" t="s">
        <v>518</v>
      </c>
      <c r="E489">
        <v>7558.63</v>
      </c>
      <c r="F489">
        <v>6288.61</v>
      </c>
      <c r="G489">
        <v>112643</v>
      </c>
      <c r="H489">
        <v>4673</v>
      </c>
      <c r="I489">
        <v>506</v>
      </c>
      <c r="J489">
        <v>20106.09</v>
      </c>
      <c r="K489">
        <f t="shared" si="64"/>
        <v>4.1485045675274987</v>
      </c>
      <c r="L489">
        <f t="shared" si="65"/>
        <v>1.3457329338754547</v>
      </c>
      <c r="M489">
        <f t="shared" si="63"/>
        <v>12.428083003952569</v>
      </c>
      <c r="N489">
        <f t="shared" si="66"/>
        <v>3.197223233751179</v>
      </c>
      <c r="O489">
        <f t="shared" si="67"/>
        <v>13817.48</v>
      </c>
      <c r="P489">
        <f t="shared" si="68"/>
        <v>-628861</v>
      </c>
      <c r="Q489">
        <f t="shared" si="69"/>
        <v>2025</v>
      </c>
      <c r="R489">
        <f t="shared" si="70"/>
        <v>2</v>
      </c>
      <c r="S489">
        <f t="shared" si="71"/>
        <v>10.82816178044083</v>
      </c>
    </row>
    <row r="490" spans="1:19" x14ac:dyDescent="0.3">
      <c r="A490" t="s">
        <v>498</v>
      </c>
      <c r="B490" s="2">
        <v>45680</v>
      </c>
      <c r="C490" t="s">
        <v>512</v>
      </c>
      <c r="D490" t="s">
        <v>517</v>
      </c>
      <c r="E490">
        <v>9995.9</v>
      </c>
      <c r="F490">
        <v>8141.3</v>
      </c>
      <c r="G490">
        <v>99483</v>
      </c>
      <c r="H490">
        <v>4587</v>
      </c>
      <c r="I490">
        <v>250</v>
      </c>
      <c r="J490">
        <v>12328.81</v>
      </c>
      <c r="K490">
        <f t="shared" si="64"/>
        <v>4.6108380326286902</v>
      </c>
      <c r="L490">
        <f t="shared" si="65"/>
        <v>1.7748637453673426</v>
      </c>
      <c r="M490">
        <f t="shared" si="63"/>
        <v>32.565199999999997</v>
      </c>
      <c r="N490">
        <f t="shared" si="66"/>
        <v>1.5143539729527224</v>
      </c>
      <c r="O490">
        <f t="shared" si="67"/>
        <v>4187.5099999999993</v>
      </c>
      <c r="P490">
        <f t="shared" si="68"/>
        <v>-814130</v>
      </c>
      <c r="Q490">
        <f t="shared" si="69"/>
        <v>2025</v>
      </c>
      <c r="R490">
        <f t="shared" si="70"/>
        <v>1</v>
      </c>
      <c r="S490">
        <f t="shared" si="71"/>
        <v>5.4501853063004138</v>
      </c>
    </row>
    <row r="491" spans="1:19" x14ac:dyDescent="0.3">
      <c r="A491" t="s">
        <v>499</v>
      </c>
      <c r="B491" s="2">
        <v>45690</v>
      </c>
      <c r="C491" t="s">
        <v>513</v>
      </c>
      <c r="D491" t="s">
        <v>516</v>
      </c>
      <c r="E491">
        <v>5848.36</v>
      </c>
      <c r="F491">
        <v>6206.43</v>
      </c>
      <c r="G491">
        <v>166799</v>
      </c>
      <c r="H491">
        <v>6009</v>
      </c>
      <c r="I491">
        <v>332</v>
      </c>
      <c r="J491">
        <v>14432.56</v>
      </c>
      <c r="K491">
        <f t="shared" si="64"/>
        <v>3.6025395835706449</v>
      </c>
      <c r="L491">
        <f t="shared" si="65"/>
        <v>1.032855716425362</v>
      </c>
      <c r="M491">
        <f t="shared" si="63"/>
        <v>18.694066265060243</v>
      </c>
      <c r="N491">
        <f t="shared" si="66"/>
        <v>2.3254205718907648</v>
      </c>
      <c r="O491">
        <f t="shared" si="67"/>
        <v>8226.1299999999992</v>
      </c>
      <c r="P491">
        <f t="shared" si="68"/>
        <v>-620643</v>
      </c>
      <c r="Q491">
        <f t="shared" si="69"/>
        <v>2025</v>
      </c>
      <c r="R491">
        <f t="shared" si="70"/>
        <v>2</v>
      </c>
      <c r="S491">
        <f t="shared" si="71"/>
        <v>5.525045764686304</v>
      </c>
    </row>
    <row r="492" spans="1:19" x14ac:dyDescent="0.3">
      <c r="A492" t="s">
        <v>500</v>
      </c>
      <c r="B492" s="2">
        <v>45728</v>
      </c>
      <c r="C492" t="s">
        <v>513</v>
      </c>
      <c r="D492" t="s">
        <v>515</v>
      </c>
      <c r="E492">
        <v>6969.11</v>
      </c>
      <c r="F492">
        <v>7119.19</v>
      </c>
      <c r="G492">
        <v>64146</v>
      </c>
      <c r="H492">
        <v>2927</v>
      </c>
      <c r="I492">
        <v>300</v>
      </c>
      <c r="J492">
        <v>13906.64</v>
      </c>
      <c r="K492">
        <f t="shared" si="64"/>
        <v>4.5630280921647488</v>
      </c>
      <c r="L492">
        <f t="shared" si="65"/>
        <v>2.4322480355312606</v>
      </c>
      <c r="M492">
        <f t="shared" si="63"/>
        <v>23.730633333333333</v>
      </c>
      <c r="N492">
        <f t="shared" si="66"/>
        <v>1.9534020021940699</v>
      </c>
      <c r="O492">
        <f t="shared" si="67"/>
        <v>6787.45</v>
      </c>
      <c r="P492">
        <f t="shared" si="68"/>
        <v>-711919</v>
      </c>
      <c r="Q492">
        <f t="shared" si="69"/>
        <v>2025</v>
      </c>
      <c r="R492">
        <f t="shared" si="70"/>
        <v>3</v>
      </c>
      <c r="S492">
        <f t="shared" si="71"/>
        <v>10.249402118209773</v>
      </c>
    </row>
    <row r="493" spans="1:19" x14ac:dyDescent="0.3">
      <c r="A493" t="s">
        <v>501</v>
      </c>
      <c r="B493" s="2">
        <v>45728</v>
      </c>
      <c r="C493" t="s">
        <v>514</v>
      </c>
      <c r="D493" t="s">
        <v>515</v>
      </c>
      <c r="E493">
        <v>5828.98</v>
      </c>
      <c r="F493">
        <v>5235.0600000000004</v>
      </c>
      <c r="G493">
        <v>165901</v>
      </c>
      <c r="H493">
        <v>3604</v>
      </c>
      <c r="I493">
        <v>431</v>
      </c>
      <c r="J493">
        <v>17251.98</v>
      </c>
      <c r="K493">
        <f t="shared" si="64"/>
        <v>2.1723799133218002</v>
      </c>
      <c r="L493">
        <f t="shared" si="65"/>
        <v>1.4525693673695894</v>
      </c>
      <c r="M493">
        <f t="shared" si="63"/>
        <v>12.14631090487239</v>
      </c>
      <c r="N493">
        <f t="shared" si="66"/>
        <v>3.2954693929009404</v>
      </c>
      <c r="O493">
        <f t="shared" si="67"/>
        <v>12016.919999999998</v>
      </c>
      <c r="P493">
        <f t="shared" si="68"/>
        <v>-523506.00000000012</v>
      </c>
      <c r="Q493">
        <f t="shared" si="69"/>
        <v>2025</v>
      </c>
      <c r="R493">
        <f t="shared" si="70"/>
        <v>3</v>
      </c>
      <c r="S493">
        <f t="shared" si="71"/>
        <v>11.958934517203108</v>
      </c>
    </row>
    <row r="494" spans="1:19" x14ac:dyDescent="0.3">
      <c r="A494" t="s">
        <v>502</v>
      </c>
      <c r="B494" s="2">
        <v>45776</v>
      </c>
      <c r="C494" t="s">
        <v>512</v>
      </c>
      <c r="D494" t="s">
        <v>515</v>
      </c>
      <c r="E494">
        <v>8654.92</v>
      </c>
      <c r="F494">
        <v>8903.19</v>
      </c>
      <c r="G494">
        <v>52359</v>
      </c>
      <c r="H494">
        <v>1523</v>
      </c>
      <c r="I494">
        <v>135</v>
      </c>
      <c r="J494">
        <v>5931.15</v>
      </c>
      <c r="K494">
        <f t="shared" si="64"/>
        <v>2.9087644913004449</v>
      </c>
      <c r="L494">
        <f t="shared" si="65"/>
        <v>5.8458240315167433</v>
      </c>
      <c r="M494">
        <f t="shared" si="63"/>
        <v>65.949555555555563</v>
      </c>
      <c r="N494">
        <f t="shared" si="66"/>
        <v>0.66618257051685958</v>
      </c>
      <c r="O494">
        <f t="shared" si="67"/>
        <v>-2972.0400000000009</v>
      </c>
      <c r="P494">
        <f t="shared" si="68"/>
        <v>-890319</v>
      </c>
      <c r="Q494">
        <f t="shared" si="69"/>
        <v>2025</v>
      </c>
      <c r="R494">
        <f t="shared" si="70"/>
        <v>4</v>
      </c>
      <c r="S494">
        <f t="shared" si="71"/>
        <v>8.8640840446487186</v>
      </c>
    </row>
    <row r="495" spans="1:19" x14ac:dyDescent="0.3">
      <c r="A495" t="s">
        <v>503</v>
      </c>
      <c r="B495" s="2">
        <v>45799</v>
      </c>
      <c r="C495" t="s">
        <v>511</v>
      </c>
      <c r="D495" t="s">
        <v>515</v>
      </c>
      <c r="E495">
        <v>6049.08</v>
      </c>
      <c r="F495">
        <v>6323.41</v>
      </c>
      <c r="G495">
        <v>158601</v>
      </c>
      <c r="H495">
        <v>7199</v>
      </c>
      <c r="I495">
        <v>503</v>
      </c>
      <c r="J495">
        <v>11873.95</v>
      </c>
      <c r="K495">
        <f t="shared" si="64"/>
        <v>4.5390634359178064</v>
      </c>
      <c r="L495">
        <f t="shared" si="65"/>
        <v>0.87837338519238783</v>
      </c>
      <c r="M495">
        <f t="shared" si="63"/>
        <v>12.571391650099404</v>
      </c>
      <c r="N495">
        <f t="shared" si="66"/>
        <v>1.8777763896378696</v>
      </c>
      <c r="O495">
        <f t="shared" si="67"/>
        <v>5550.5400000000009</v>
      </c>
      <c r="P495">
        <f t="shared" si="68"/>
        <v>-632341</v>
      </c>
      <c r="Q495">
        <f t="shared" si="69"/>
        <v>2025</v>
      </c>
      <c r="R495">
        <f t="shared" si="70"/>
        <v>5</v>
      </c>
      <c r="S495">
        <f t="shared" si="71"/>
        <v>6.9870815391026531</v>
      </c>
    </row>
    <row r="496" spans="1:19" x14ac:dyDescent="0.3">
      <c r="A496" t="s">
        <v>504</v>
      </c>
      <c r="B496" s="2">
        <v>45698</v>
      </c>
      <c r="C496" t="s">
        <v>513</v>
      </c>
      <c r="D496" t="s">
        <v>517</v>
      </c>
      <c r="E496">
        <v>6811.42</v>
      </c>
      <c r="F496">
        <v>5460.9</v>
      </c>
      <c r="G496">
        <v>73610</v>
      </c>
      <c r="H496">
        <v>2346</v>
      </c>
      <c r="I496">
        <v>170</v>
      </c>
      <c r="J496">
        <v>5055.3900000000003</v>
      </c>
      <c r="K496">
        <f t="shared" si="64"/>
        <v>3.1870669745958433</v>
      </c>
      <c r="L496">
        <f t="shared" si="65"/>
        <v>2.3277493606138107</v>
      </c>
      <c r="M496">
        <f t="shared" si="63"/>
        <v>32.122941176470583</v>
      </c>
      <c r="N496">
        <f t="shared" si="66"/>
        <v>0.92574300939405607</v>
      </c>
      <c r="O496">
        <f t="shared" si="67"/>
        <v>-405.50999999999931</v>
      </c>
      <c r="P496">
        <f t="shared" si="68"/>
        <v>-546090</v>
      </c>
      <c r="Q496">
        <f t="shared" si="69"/>
        <v>2025</v>
      </c>
      <c r="R496">
        <f t="shared" si="70"/>
        <v>2</v>
      </c>
      <c r="S496">
        <f t="shared" si="71"/>
        <v>7.2463768115942031</v>
      </c>
    </row>
    <row r="497" spans="1:19" x14ac:dyDescent="0.3">
      <c r="A497" t="s">
        <v>505</v>
      </c>
      <c r="B497" s="2">
        <v>45667</v>
      </c>
      <c r="C497" t="s">
        <v>513</v>
      </c>
      <c r="D497" t="s">
        <v>518</v>
      </c>
      <c r="E497">
        <v>5565.23</v>
      </c>
      <c r="F497">
        <v>5113.62</v>
      </c>
      <c r="G497">
        <v>67169</v>
      </c>
      <c r="H497">
        <v>1577</v>
      </c>
      <c r="I497">
        <v>305</v>
      </c>
      <c r="J497">
        <v>12463.52</v>
      </c>
      <c r="K497">
        <f t="shared" si="64"/>
        <v>2.3478092572466465</v>
      </c>
      <c r="L497">
        <f t="shared" si="65"/>
        <v>3.2426252377932783</v>
      </c>
      <c r="M497">
        <f t="shared" si="63"/>
        <v>16.765967213114752</v>
      </c>
      <c r="N497">
        <f t="shared" si="66"/>
        <v>2.437318377196585</v>
      </c>
      <c r="O497">
        <f t="shared" si="67"/>
        <v>7349.9000000000005</v>
      </c>
      <c r="P497">
        <f t="shared" si="68"/>
        <v>-511362</v>
      </c>
      <c r="Q497">
        <f t="shared" si="69"/>
        <v>2025</v>
      </c>
      <c r="R497">
        <f t="shared" si="70"/>
        <v>1</v>
      </c>
      <c r="S497">
        <f t="shared" si="71"/>
        <v>19.340519974635384</v>
      </c>
    </row>
    <row r="498" spans="1:19" x14ac:dyDescent="0.3">
      <c r="A498" t="s">
        <v>506</v>
      </c>
      <c r="B498" s="2">
        <v>45699</v>
      </c>
      <c r="C498" t="s">
        <v>514</v>
      </c>
      <c r="D498" t="s">
        <v>517</v>
      </c>
      <c r="E498">
        <v>5719.91</v>
      </c>
      <c r="F498">
        <v>5345.87</v>
      </c>
      <c r="G498">
        <v>152621</v>
      </c>
      <c r="H498">
        <v>2741</v>
      </c>
      <c r="I498">
        <v>345</v>
      </c>
      <c r="J498">
        <v>9358.58</v>
      </c>
      <c r="K498">
        <f t="shared" si="64"/>
        <v>1.7959520642637643</v>
      </c>
      <c r="L498">
        <f t="shared" si="65"/>
        <v>1.9503356439255746</v>
      </c>
      <c r="M498">
        <f t="shared" si="63"/>
        <v>15.495275362318841</v>
      </c>
      <c r="N498">
        <f t="shared" si="66"/>
        <v>1.750618701913814</v>
      </c>
      <c r="O498">
        <f t="shared" si="67"/>
        <v>4012.71</v>
      </c>
      <c r="P498">
        <f t="shared" si="68"/>
        <v>-534587</v>
      </c>
      <c r="Q498">
        <f t="shared" si="69"/>
        <v>2025</v>
      </c>
      <c r="R498">
        <f t="shared" si="70"/>
        <v>2</v>
      </c>
      <c r="S498">
        <f t="shared" si="71"/>
        <v>12.586647209047793</v>
      </c>
    </row>
    <row r="499" spans="1:19" x14ac:dyDescent="0.3">
      <c r="A499" t="s">
        <v>507</v>
      </c>
      <c r="B499" s="2">
        <v>45636</v>
      </c>
      <c r="C499" t="s">
        <v>511</v>
      </c>
      <c r="D499" t="s">
        <v>515</v>
      </c>
      <c r="E499">
        <v>5612.76</v>
      </c>
      <c r="F499">
        <v>4872.8900000000003</v>
      </c>
      <c r="G499">
        <v>107940</v>
      </c>
      <c r="H499">
        <v>2915</v>
      </c>
      <c r="I499">
        <v>150</v>
      </c>
      <c r="J499">
        <v>3329.38</v>
      </c>
      <c r="K499">
        <f t="shared" si="64"/>
        <v>2.7005743931813972</v>
      </c>
      <c r="L499">
        <f t="shared" si="65"/>
        <v>1.6716603773584906</v>
      </c>
      <c r="M499">
        <f t="shared" si="63"/>
        <v>32.485933333333335</v>
      </c>
      <c r="N499">
        <f t="shared" si="66"/>
        <v>0.68324546624282512</v>
      </c>
      <c r="O499">
        <f t="shared" si="67"/>
        <v>-1543.5100000000002</v>
      </c>
      <c r="P499">
        <f t="shared" si="68"/>
        <v>-487289.00000000006</v>
      </c>
      <c r="Q499">
        <f t="shared" si="69"/>
        <v>2024</v>
      </c>
      <c r="R499">
        <f t="shared" si="70"/>
        <v>12</v>
      </c>
      <c r="S499">
        <f t="shared" si="71"/>
        <v>5.1457975986277873</v>
      </c>
    </row>
    <row r="500" spans="1:19" x14ac:dyDescent="0.3">
      <c r="A500" t="s">
        <v>508</v>
      </c>
      <c r="B500" s="2">
        <v>45779</v>
      </c>
      <c r="C500" t="s">
        <v>512</v>
      </c>
      <c r="D500" t="s">
        <v>516</v>
      </c>
      <c r="E500">
        <v>7224.14</v>
      </c>
      <c r="F500">
        <v>7227.49</v>
      </c>
      <c r="G500">
        <v>68836</v>
      </c>
      <c r="H500">
        <v>3169</v>
      </c>
      <c r="I500">
        <v>620</v>
      </c>
      <c r="J500">
        <v>23922.52</v>
      </c>
      <c r="K500">
        <f t="shared" si="64"/>
        <v>4.6036957406008483</v>
      </c>
      <c r="L500">
        <f t="shared" si="65"/>
        <v>2.2806847585989272</v>
      </c>
      <c r="M500">
        <f t="shared" si="63"/>
        <v>11.657241935483871</v>
      </c>
      <c r="N500">
        <f t="shared" si="66"/>
        <v>3.3099347076232553</v>
      </c>
      <c r="O500">
        <f t="shared" si="67"/>
        <v>16695.03</v>
      </c>
      <c r="P500">
        <f t="shared" si="68"/>
        <v>-722749.00000000012</v>
      </c>
      <c r="Q500">
        <f t="shared" si="69"/>
        <v>2025</v>
      </c>
      <c r="R500">
        <f t="shared" si="70"/>
        <v>5</v>
      </c>
      <c r="S500">
        <f>(I500/H500)*100</f>
        <v>19.564531397917325</v>
      </c>
    </row>
    <row r="501" spans="1:19" x14ac:dyDescent="0.3">
      <c r="A501" t="s">
        <v>509</v>
      </c>
      <c r="B501" s="2">
        <v>45771</v>
      </c>
      <c r="C501" t="s">
        <v>513</v>
      </c>
      <c r="D501" t="s">
        <v>515</v>
      </c>
      <c r="E501">
        <v>6244.46</v>
      </c>
      <c r="F501">
        <v>5707.04</v>
      </c>
      <c r="G501">
        <v>140338</v>
      </c>
      <c r="H501">
        <v>5296</v>
      </c>
      <c r="I501">
        <v>294</v>
      </c>
      <c r="J501">
        <v>13494.6</v>
      </c>
      <c r="K501">
        <f t="shared" si="64"/>
        <v>3.7737462412176321</v>
      </c>
      <c r="L501">
        <f t="shared" si="65"/>
        <v>1.0776132930513596</v>
      </c>
      <c r="M501">
        <f t="shared" si="63"/>
        <v>19.411700680272109</v>
      </c>
      <c r="N501">
        <f t="shared" si="66"/>
        <v>2.3645532535254703</v>
      </c>
      <c r="O501">
        <f t="shared" si="67"/>
        <v>7787.56</v>
      </c>
      <c r="P501">
        <f t="shared" si="68"/>
        <v>-570704</v>
      </c>
      <c r="Q501">
        <f t="shared" si="69"/>
        <v>2025</v>
      </c>
      <c r="R501">
        <f t="shared" si="70"/>
        <v>4</v>
      </c>
      <c r="S501">
        <f t="shared" ref="S501" si="72">(I501/H501)*100</f>
        <v>5.5513595166163148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D065-E9C4-44CA-9E52-58ED4C7BE99C}">
  <dimension ref="A2:K24"/>
  <sheetViews>
    <sheetView topLeftCell="B1" workbookViewId="0">
      <selection activeCell="G21" sqref="G21"/>
    </sheetView>
  </sheetViews>
  <sheetFormatPr defaultRowHeight="14.4" x14ac:dyDescent="0.3"/>
  <cols>
    <col min="1" max="1" width="12.5546875" bestFit="1" customWidth="1"/>
    <col min="2" max="2" width="20.88671875" bestFit="1" customWidth="1"/>
    <col min="3" max="4" width="12.5546875" bestFit="1" customWidth="1"/>
    <col min="5" max="5" width="12.109375" bestFit="1" customWidth="1"/>
    <col min="6" max="6" width="17.77734375" bestFit="1" customWidth="1"/>
    <col min="7" max="7" width="12.5546875" bestFit="1" customWidth="1"/>
    <col min="8" max="8" width="12.109375" bestFit="1" customWidth="1"/>
    <col min="9" max="9" width="17.88671875" bestFit="1" customWidth="1"/>
    <col min="10" max="10" width="12.5546875" bestFit="1" customWidth="1"/>
    <col min="11" max="11" width="17.88671875" bestFit="1" customWidth="1"/>
    <col min="12" max="12" width="17.77734375" bestFit="1" customWidth="1"/>
    <col min="13" max="13" width="17.88671875" bestFit="1" customWidth="1"/>
  </cols>
  <sheetData>
    <row r="2" spans="1:11" x14ac:dyDescent="0.3">
      <c r="A2" s="4" t="s">
        <v>527</v>
      </c>
      <c r="B2" t="s">
        <v>531</v>
      </c>
      <c r="D2" s="4" t="s">
        <v>527</v>
      </c>
      <c r="E2" t="s">
        <v>532</v>
      </c>
      <c r="G2" s="4" t="s">
        <v>527</v>
      </c>
      <c r="H2" t="s">
        <v>534</v>
      </c>
      <c r="J2" s="4" t="s">
        <v>527</v>
      </c>
      <c r="K2" t="s">
        <v>536</v>
      </c>
    </row>
    <row r="3" spans="1:11" x14ac:dyDescent="0.3">
      <c r="A3" s="5" t="s">
        <v>517</v>
      </c>
      <c r="B3" s="8">
        <v>14149.813676470587</v>
      </c>
      <c r="D3" s="5">
        <v>2025</v>
      </c>
      <c r="E3" s="8">
        <v>525799.32000000018</v>
      </c>
      <c r="G3" s="5" t="s">
        <v>511</v>
      </c>
      <c r="H3" s="8">
        <v>8022.2753164556943</v>
      </c>
      <c r="J3" s="5" t="s">
        <v>517</v>
      </c>
      <c r="K3" s="8">
        <v>25894</v>
      </c>
    </row>
    <row r="4" spans="1:11" x14ac:dyDescent="0.3">
      <c r="A4" s="5" t="s">
        <v>528</v>
      </c>
      <c r="B4" s="8">
        <v>14149.813676470587</v>
      </c>
      <c r="D4" s="5" t="s">
        <v>528</v>
      </c>
      <c r="E4" s="8">
        <v>525799.32000000018</v>
      </c>
      <c r="G4" s="5" t="s">
        <v>514</v>
      </c>
      <c r="H4" s="8">
        <v>7805.2584090909104</v>
      </c>
      <c r="J4" s="5" t="s">
        <v>528</v>
      </c>
      <c r="K4" s="8">
        <v>25894</v>
      </c>
    </row>
    <row r="5" spans="1:11" x14ac:dyDescent="0.3">
      <c r="G5" s="5" t="s">
        <v>512</v>
      </c>
      <c r="H5" s="8">
        <v>5363.4656043956047</v>
      </c>
    </row>
    <row r="6" spans="1:11" x14ac:dyDescent="0.3">
      <c r="G6" s="5" t="s">
        <v>528</v>
      </c>
      <c r="H6" s="8">
        <v>7010.4568217054275</v>
      </c>
    </row>
    <row r="9" spans="1:11" x14ac:dyDescent="0.3">
      <c r="A9" s="4" t="s">
        <v>527</v>
      </c>
      <c r="B9" t="s">
        <v>532</v>
      </c>
      <c r="D9" s="4" t="s">
        <v>527</v>
      </c>
      <c r="E9" t="s">
        <v>537</v>
      </c>
      <c r="F9" t="s">
        <v>530</v>
      </c>
    </row>
    <row r="10" spans="1:11" x14ac:dyDescent="0.3">
      <c r="A10" s="5" t="s">
        <v>511</v>
      </c>
      <c r="B10" s="8">
        <v>633759.74999999988</v>
      </c>
      <c r="D10" s="5" t="s">
        <v>544</v>
      </c>
      <c r="E10" s="8">
        <v>436388.00999999995</v>
      </c>
      <c r="F10" s="8">
        <v>962187.33</v>
      </c>
      <c r="G10" s="4" t="s">
        <v>527</v>
      </c>
      <c r="H10" t="s">
        <v>535</v>
      </c>
    </row>
    <row r="11" spans="1:11" x14ac:dyDescent="0.3">
      <c r="A11" s="5" t="s">
        <v>514</v>
      </c>
      <c r="B11" s="8">
        <v>686862.74000000011</v>
      </c>
      <c r="D11" s="5" t="s">
        <v>528</v>
      </c>
      <c r="E11" s="8">
        <v>436388.00999999995</v>
      </c>
      <c r="F11" s="8">
        <v>962187.33</v>
      </c>
      <c r="G11" s="5" t="s">
        <v>511</v>
      </c>
      <c r="H11" s="8">
        <v>65.787772467292825</v>
      </c>
    </row>
    <row r="12" spans="1:11" x14ac:dyDescent="0.3">
      <c r="A12" s="5" t="s">
        <v>512</v>
      </c>
      <c r="B12" s="8">
        <v>488075.37000000005</v>
      </c>
      <c r="G12" s="5" t="s">
        <v>514</v>
      </c>
      <c r="H12" s="8">
        <v>51.304579850834998</v>
      </c>
    </row>
    <row r="13" spans="1:11" x14ac:dyDescent="0.3">
      <c r="A13" s="5" t="s">
        <v>528</v>
      </c>
      <c r="B13" s="8">
        <v>1808697.86</v>
      </c>
      <c r="G13" s="5" t="s">
        <v>512</v>
      </c>
      <c r="H13" s="8">
        <v>47.551735761319215</v>
      </c>
    </row>
    <row r="14" spans="1:11" x14ac:dyDescent="0.3">
      <c r="G14" s="5" t="s">
        <v>528</v>
      </c>
      <c r="H14" s="8">
        <v>164.64408807944704</v>
      </c>
    </row>
    <row r="17" spans="1:11" x14ac:dyDescent="0.3">
      <c r="A17" s="4" t="s">
        <v>527</v>
      </c>
    </row>
    <row r="18" spans="1:11" x14ac:dyDescent="0.3">
      <c r="A18" s="5">
        <v>2025</v>
      </c>
    </row>
    <row r="19" spans="1:11" x14ac:dyDescent="0.3">
      <c r="A19" s="5" t="s">
        <v>528</v>
      </c>
      <c r="J19" t="s">
        <v>539</v>
      </c>
      <c r="K19" t="s">
        <v>540</v>
      </c>
    </row>
    <row r="20" spans="1:11" x14ac:dyDescent="0.3">
      <c r="C20" s="4" t="s">
        <v>527</v>
      </c>
      <c r="D20" t="s">
        <v>529</v>
      </c>
      <c r="J20" t="s">
        <v>541</v>
      </c>
      <c r="K20">
        <v>62386067</v>
      </c>
    </row>
    <row r="21" spans="1:11" x14ac:dyDescent="0.3">
      <c r="C21" s="5" t="s">
        <v>511</v>
      </c>
      <c r="D21" s="8">
        <v>136041.13</v>
      </c>
      <c r="J21" t="s">
        <v>542</v>
      </c>
      <c r="K21">
        <v>1814121</v>
      </c>
    </row>
    <row r="22" spans="1:11" x14ac:dyDescent="0.3">
      <c r="C22" s="5" t="s">
        <v>514</v>
      </c>
      <c r="D22" s="8">
        <v>152922.28999999998</v>
      </c>
      <c r="J22" t="s">
        <v>543</v>
      </c>
      <c r="K22">
        <v>184526</v>
      </c>
    </row>
    <row r="23" spans="1:11" x14ac:dyDescent="0.3">
      <c r="C23" s="5" t="s">
        <v>512</v>
      </c>
      <c r="D23" s="8">
        <v>177756.56</v>
      </c>
    </row>
    <row r="24" spans="1:11" x14ac:dyDescent="0.3">
      <c r="C24" s="5" t="s">
        <v>528</v>
      </c>
      <c r="D24" s="8">
        <v>466719.98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3663D-68E0-4F4C-B16D-9AB18B73AA48}">
  <dimension ref="A1:FJ496"/>
  <sheetViews>
    <sheetView showGridLines="0" showRowColHeaders="0" tabSelected="1" zoomScale="52" zoomScaleNormal="76" workbookViewId="0">
      <selection activeCell="AJ38" sqref="AJ38"/>
    </sheetView>
  </sheetViews>
  <sheetFormatPr defaultRowHeight="14.4" x14ac:dyDescent="0.3"/>
  <sheetData>
    <row r="1" spans="1:166"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row>
    <row r="2" spans="1:166" ht="31.2" x14ac:dyDescent="0.6">
      <c r="A2" s="6"/>
      <c r="B2" s="6"/>
      <c r="C2" s="6"/>
      <c r="D2" s="6"/>
      <c r="E2" s="6"/>
      <c r="F2" s="6"/>
      <c r="G2" s="6"/>
      <c r="H2" s="6"/>
      <c r="I2" s="7" t="s">
        <v>533</v>
      </c>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row>
    <row r="3" spans="1:166"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row>
    <row r="4" spans="1:166"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row>
    <row r="5" spans="1:166"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row>
    <row r="6" spans="1:166"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row>
    <row r="7" spans="1:166"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row>
    <row r="8" spans="1:166"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row>
    <row r="9" spans="1:166"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row>
    <row r="10" spans="1:166"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row>
    <row r="11" spans="1:166"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row>
    <row r="12" spans="1:166"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row>
    <row r="13" spans="1:166"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row>
    <row r="14" spans="1:166"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row>
    <row r="15" spans="1:166"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row>
    <row r="16" spans="1:166"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row>
    <row r="17" spans="1:166"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row>
    <row r="18" spans="1:166"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row>
    <row r="19" spans="1:166"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row>
    <row r="20" spans="1:166"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row>
    <row r="21" spans="1:166"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row>
    <row r="22" spans="1:166"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row>
    <row r="23" spans="1:166"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row>
    <row r="24" spans="1:166"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row>
    <row r="25" spans="1:166"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row>
    <row r="26" spans="1:166"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row>
    <row r="27" spans="1:166"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row>
    <row r="28" spans="1:166"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row>
    <row r="29" spans="1:166"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row>
    <row r="30" spans="1:166"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row>
    <row r="31" spans="1:166"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row>
    <row r="32" spans="1:166"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row>
    <row r="33" spans="1:166"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row>
    <row r="34" spans="1:166"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row>
    <row r="35" spans="1:166"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row>
    <row r="36" spans="1:166"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row>
    <row r="37" spans="1:166"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row>
    <row r="38" spans="1:166"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row>
    <row r="39" spans="1:166"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row>
    <row r="40" spans="1:166"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row>
    <row r="41" spans="1:166"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row>
    <row r="42" spans="1:166"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row>
    <row r="43" spans="1:166"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row>
    <row r="44" spans="1:166"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row>
    <row r="45" spans="1:166"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row>
    <row r="46" spans="1:166"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row>
    <row r="47" spans="1:166"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row>
    <row r="48" spans="1:166"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row>
    <row r="49" spans="1:166"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row>
    <row r="50" spans="1:166"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row>
    <row r="51" spans="1:166"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row>
    <row r="52" spans="1:166"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row>
    <row r="53" spans="1:166"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row>
    <row r="54" spans="1:166"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row>
    <row r="55" spans="1:166"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row>
    <row r="56" spans="1:166"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row>
    <row r="57" spans="1:166"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row>
    <row r="58" spans="1:166"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row>
    <row r="59" spans="1:166"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row>
    <row r="60" spans="1:166"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row>
    <row r="61" spans="1:166"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row>
    <row r="62" spans="1:166"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row>
    <row r="63" spans="1:166"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row>
    <row r="64" spans="1:166"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row>
    <row r="65" spans="1:166"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row>
    <row r="66" spans="1:166"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row>
    <row r="67" spans="1:166"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row>
    <row r="68" spans="1:166"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row>
    <row r="69" spans="1:166"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row>
    <row r="70" spans="1:166"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row>
    <row r="71" spans="1:166"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row>
    <row r="72" spans="1:166"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row>
    <row r="73" spans="1:166"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row>
    <row r="74" spans="1:166"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row>
    <row r="75" spans="1:166"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row>
    <row r="76" spans="1:166"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row>
    <row r="77" spans="1:166"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row>
    <row r="78" spans="1:166"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row>
    <row r="79" spans="1:166"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row>
    <row r="80" spans="1:166"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row>
    <row r="81" spans="1:166"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c r="EY81" s="6"/>
      <c r="EZ81" s="6"/>
      <c r="FA81" s="6"/>
      <c r="FB81" s="6"/>
      <c r="FC81" s="6"/>
      <c r="FD81" s="6"/>
      <c r="FE81" s="6"/>
      <c r="FF81" s="6"/>
      <c r="FG81" s="6"/>
      <c r="FH81" s="6"/>
      <c r="FI81" s="6"/>
      <c r="FJ81" s="6"/>
    </row>
    <row r="82" spans="1:166"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row>
    <row r="83" spans="1:166"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row>
    <row r="84" spans="1:166"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c r="DJ84" s="6"/>
      <c r="DK84" s="6"/>
      <c r="DL84" s="6"/>
      <c r="DM84" s="6"/>
      <c r="DN84" s="6"/>
      <c r="DO84" s="6"/>
      <c r="DP84" s="6"/>
      <c r="DQ84" s="6"/>
      <c r="DR84" s="6"/>
      <c r="DS84" s="6"/>
      <c r="DT84" s="6"/>
      <c r="DU84" s="6"/>
      <c r="DV84" s="6"/>
      <c r="DW84" s="6"/>
      <c r="DX84" s="6"/>
      <c r="DY84" s="6"/>
      <c r="DZ84" s="6"/>
      <c r="EA84" s="6"/>
      <c r="EB84" s="6"/>
      <c r="EC84" s="6"/>
      <c r="ED84" s="6"/>
      <c r="EE84" s="6"/>
      <c r="EF84" s="6"/>
      <c r="EG84" s="6"/>
      <c r="EH84" s="6"/>
      <c r="EI84" s="6"/>
      <c r="EJ84" s="6"/>
      <c r="EK84" s="6"/>
      <c r="EL84" s="6"/>
      <c r="EM84" s="6"/>
      <c r="EN84" s="6"/>
      <c r="EO84" s="6"/>
      <c r="EP84" s="6"/>
      <c r="EQ84" s="6"/>
      <c r="ER84" s="6"/>
      <c r="ES84" s="6"/>
      <c r="ET84" s="6"/>
      <c r="EU84" s="6"/>
      <c r="EV84" s="6"/>
      <c r="EW84" s="6"/>
      <c r="EX84" s="6"/>
      <c r="EY84" s="6"/>
      <c r="EZ84" s="6"/>
      <c r="FA84" s="6"/>
      <c r="FB84" s="6"/>
      <c r="FC84" s="6"/>
      <c r="FD84" s="6"/>
      <c r="FE84" s="6"/>
      <c r="FF84" s="6"/>
      <c r="FG84" s="6"/>
      <c r="FH84" s="6"/>
      <c r="FI84" s="6"/>
      <c r="FJ84" s="6"/>
    </row>
    <row r="85" spans="1:166"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6"/>
      <c r="DW85" s="6"/>
      <c r="DX85" s="6"/>
      <c r="DY85" s="6"/>
      <c r="DZ85" s="6"/>
      <c r="EA85" s="6"/>
      <c r="EB85" s="6"/>
      <c r="EC85" s="6"/>
      <c r="ED85" s="6"/>
      <c r="EE85" s="6"/>
      <c r="EF85" s="6"/>
      <c r="EG85" s="6"/>
      <c r="EH85" s="6"/>
      <c r="EI85" s="6"/>
      <c r="EJ85" s="6"/>
      <c r="EK85" s="6"/>
      <c r="EL85" s="6"/>
      <c r="EM85" s="6"/>
      <c r="EN85" s="6"/>
      <c r="EO85" s="6"/>
      <c r="EP85" s="6"/>
      <c r="EQ85" s="6"/>
      <c r="ER85" s="6"/>
      <c r="ES85" s="6"/>
      <c r="ET85" s="6"/>
      <c r="EU85" s="6"/>
      <c r="EV85" s="6"/>
      <c r="EW85" s="6"/>
      <c r="EX85" s="6"/>
      <c r="EY85" s="6"/>
      <c r="EZ85" s="6"/>
      <c r="FA85" s="6"/>
      <c r="FB85" s="6"/>
      <c r="FC85" s="6"/>
      <c r="FD85" s="6"/>
      <c r="FE85" s="6"/>
      <c r="FF85" s="6"/>
      <c r="FG85" s="6"/>
      <c r="FH85" s="6"/>
      <c r="FI85" s="6"/>
      <c r="FJ85" s="6"/>
    </row>
    <row r="86" spans="1:166"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row>
    <row r="87" spans="1:166"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row>
    <row r="88" spans="1:166"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row>
    <row r="89" spans="1:166"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c r="EY89" s="6"/>
      <c r="EZ89" s="6"/>
      <c r="FA89" s="6"/>
      <c r="FB89" s="6"/>
      <c r="FC89" s="6"/>
      <c r="FD89" s="6"/>
      <c r="FE89" s="6"/>
      <c r="FF89" s="6"/>
      <c r="FG89" s="6"/>
      <c r="FH89" s="6"/>
      <c r="FI89" s="6"/>
      <c r="FJ89" s="6"/>
    </row>
    <row r="90" spans="1:166"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row>
    <row r="91" spans="1:166"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c r="DQ91" s="6"/>
      <c r="DR91" s="6"/>
      <c r="DS91" s="6"/>
      <c r="DT91" s="6"/>
      <c r="DU91" s="6"/>
      <c r="DV91" s="6"/>
      <c r="DW91" s="6"/>
      <c r="DX91" s="6"/>
      <c r="DY91" s="6"/>
      <c r="DZ91" s="6"/>
      <c r="EA91" s="6"/>
      <c r="EB91" s="6"/>
      <c r="EC91" s="6"/>
      <c r="ED91" s="6"/>
      <c r="EE91" s="6"/>
      <c r="EF91" s="6"/>
      <c r="EG91" s="6"/>
      <c r="EH91" s="6"/>
      <c r="EI91" s="6"/>
      <c r="EJ91" s="6"/>
      <c r="EK91" s="6"/>
      <c r="EL91" s="6"/>
      <c r="EM91" s="6"/>
      <c r="EN91" s="6"/>
      <c r="EO91" s="6"/>
      <c r="EP91" s="6"/>
      <c r="EQ91" s="6"/>
      <c r="ER91" s="6"/>
      <c r="ES91" s="6"/>
      <c r="ET91" s="6"/>
      <c r="EU91" s="6"/>
      <c r="EV91" s="6"/>
      <c r="EW91" s="6"/>
      <c r="EX91" s="6"/>
      <c r="EY91" s="6"/>
      <c r="EZ91" s="6"/>
      <c r="FA91" s="6"/>
      <c r="FB91" s="6"/>
      <c r="FC91" s="6"/>
      <c r="FD91" s="6"/>
      <c r="FE91" s="6"/>
      <c r="FF91" s="6"/>
      <c r="FG91" s="6"/>
      <c r="FH91" s="6"/>
      <c r="FI91" s="6"/>
      <c r="FJ91" s="6"/>
    </row>
    <row r="92" spans="1:166"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c r="EM92" s="6"/>
      <c r="EN92" s="6"/>
      <c r="EO92" s="6"/>
      <c r="EP92" s="6"/>
      <c r="EQ92" s="6"/>
      <c r="ER92" s="6"/>
      <c r="ES92" s="6"/>
      <c r="ET92" s="6"/>
      <c r="EU92" s="6"/>
      <c r="EV92" s="6"/>
      <c r="EW92" s="6"/>
      <c r="EX92" s="6"/>
      <c r="EY92" s="6"/>
      <c r="EZ92" s="6"/>
      <c r="FA92" s="6"/>
      <c r="FB92" s="6"/>
      <c r="FC92" s="6"/>
      <c r="FD92" s="6"/>
      <c r="FE92" s="6"/>
      <c r="FF92" s="6"/>
      <c r="FG92" s="6"/>
      <c r="FH92" s="6"/>
      <c r="FI92" s="6"/>
      <c r="FJ92" s="6"/>
    </row>
    <row r="93" spans="1:166"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6"/>
      <c r="DW93" s="6"/>
      <c r="DX93" s="6"/>
      <c r="DY93" s="6"/>
      <c r="DZ93" s="6"/>
      <c r="EA93" s="6"/>
      <c r="EB93" s="6"/>
      <c r="EC93" s="6"/>
      <c r="ED93" s="6"/>
      <c r="EE93" s="6"/>
      <c r="EF93" s="6"/>
      <c r="EG93" s="6"/>
      <c r="EH93" s="6"/>
      <c r="EI93" s="6"/>
      <c r="EJ93" s="6"/>
      <c r="EK93" s="6"/>
      <c r="EL93" s="6"/>
      <c r="EM93" s="6"/>
      <c r="EN93" s="6"/>
      <c r="EO93" s="6"/>
      <c r="EP93" s="6"/>
      <c r="EQ93" s="6"/>
      <c r="ER93" s="6"/>
      <c r="ES93" s="6"/>
      <c r="ET93" s="6"/>
      <c r="EU93" s="6"/>
      <c r="EV93" s="6"/>
      <c r="EW93" s="6"/>
      <c r="EX93" s="6"/>
      <c r="EY93" s="6"/>
      <c r="EZ93" s="6"/>
      <c r="FA93" s="6"/>
      <c r="FB93" s="6"/>
      <c r="FC93" s="6"/>
      <c r="FD93" s="6"/>
      <c r="FE93" s="6"/>
      <c r="FF93" s="6"/>
      <c r="FG93" s="6"/>
      <c r="FH93" s="6"/>
      <c r="FI93" s="6"/>
      <c r="FJ93" s="6"/>
    </row>
    <row r="94" spans="1:166"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row>
    <row r="95" spans="1:166"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6"/>
      <c r="EL95" s="6"/>
      <c r="EM95" s="6"/>
      <c r="EN95" s="6"/>
      <c r="EO95" s="6"/>
      <c r="EP95" s="6"/>
      <c r="EQ95" s="6"/>
      <c r="ER95" s="6"/>
      <c r="ES95" s="6"/>
      <c r="ET95" s="6"/>
      <c r="EU95" s="6"/>
      <c r="EV95" s="6"/>
      <c r="EW95" s="6"/>
      <c r="EX95" s="6"/>
      <c r="EY95" s="6"/>
      <c r="EZ95" s="6"/>
      <c r="FA95" s="6"/>
      <c r="FB95" s="6"/>
      <c r="FC95" s="6"/>
      <c r="FD95" s="6"/>
      <c r="FE95" s="6"/>
      <c r="FF95" s="6"/>
      <c r="FG95" s="6"/>
      <c r="FH95" s="6"/>
      <c r="FI95" s="6"/>
      <c r="FJ95" s="6"/>
    </row>
    <row r="96" spans="1:166"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row>
    <row r="97" spans="1:166"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row>
    <row r="98" spans="1:166"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row>
    <row r="99" spans="1:166"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c r="EE99" s="6"/>
      <c r="EF99" s="6"/>
      <c r="EG99" s="6"/>
      <c r="EH99" s="6"/>
      <c r="EI99" s="6"/>
      <c r="EJ99" s="6"/>
      <c r="EK99" s="6"/>
      <c r="EL99" s="6"/>
      <c r="EM99" s="6"/>
      <c r="EN99" s="6"/>
      <c r="EO99" s="6"/>
      <c r="EP99" s="6"/>
      <c r="EQ99" s="6"/>
      <c r="ER99" s="6"/>
      <c r="ES99" s="6"/>
      <c r="ET99" s="6"/>
      <c r="EU99" s="6"/>
      <c r="EV99" s="6"/>
      <c r="EW99" s="6"/>
      <c r="EX99" s="6"/>
      <c r="EY99" s="6"/>
      <c r="EZ99" s="6"/>
      <c r="FA99" s="6"/>
      <c r="FB99" s="6"/>
      <c r="FC99" s="6"/>
      <c r="FD99" s="6"/>
      <c r="FE99" s="6"/>
      <c r="FF99" s="6"/>
      <c r="FG99" s="6"/>
      <c r="FH99" s="6"/>
      <c r="FI99" s="6"/>
      <c r="FJ99" s="6"/>
    </row>
    <row r="100" spans="1:166"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6"/>
      <c r="EH100" s="6"/>
      <c r="EI100" s="6"/>
      <c r="EJ100" s="6"/>
      <c r="EK100" s="6"/>
      <c r="EL100" s="6"/>
      <c r="EM100" s="6"/>
      <c r="EN100" s="6"/>
      <c r="EO100" s="6"/>
      <c r="EP100" s="6"/>
      <c r="EQ100" s="6"/>
      <c r="ER100" s="6"/>
      <c r="ES100" s="6"/>
      <c r="ET100" s="6"/>
      <c r="EU100" s="6"/>
      <c r="EV100" s="6"/>
      <c r="EW100" s="6"/>
      <c r="EX100" s="6"/>
      <c r="EY100" s="6"/>
      <c r="EZ100" s="6"/>
      <c r="FA100" s="6"/>
      <c r="FB100" s="6"/>
      <c r="FC100" s="6"/>
      <c r="FD100" s="6"/>
      <c r="FE100" s="6"/>
      <c r="FF100" s="6"/>
      <c r="FG100" s="6"/>
      <c r="FH100" s="6"/>
      <c r="FI100" s="6"/>
      <c r="FJ100" s="6"/>
    </row>
    <row r="101" spans="1:166"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c r="EE101" s="6"/>
      <c r="EF101" s="6"/>
      <c r="EG101" s="6"/>
      <c r="EH101" s="6"/>
      <c r="EI101" s="6"/>
      <c r="EJ101" s="6"/>
      <c r="EK101" s="6"/>
      <c r="EL101" s="6"/>
      <c r="EM101" s="6"/>
      <c r="EN101" s="6"/>
      <c r="EO101" s="6"/>
      <c r="EP101" s="6"/>
      <c r="EQ101" s="6"/>
      <c r="ER101" s="6"/>
      <c r="ES101" s="6"/>
      <c r="ET101" s="6"/>
      <c r="EU101" s="6"/>
      <c r="EV101" s="6"/>
      <c r="EW101" s="6"/>
      <c r="EX101" s="6"/>
      <c r="EY101" s="6"/>
      <c r="EZ101" s="6"/>
      <c r="FA101" s="6"/>
      <c r="FB101" s="6"/>
      <c r="FC101" s="6"/>
      <c r="FD101" s="6"/>
      <c r="FE101" s="6"/>
      <c r="FF101" s="6"/>
      <c r="FG101" s="6"/>
      <c r="FH101" s="6"/>
      <c r="FI101" s="6"/>
      <c r="FJ101" s="6"/>
    </row>
    <row r="102" spans="1:166"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row>
    <row r="103" spans="1:166"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c r="EY103" s="6"/>
      <c r="EZ103" s="6"/>
      <c r="FA103" s="6"/>
      <c r="FB103" s="6"/>
      <c r="FC103" s="6"/>
      <c r="FD103" s="6"/>
      <c r="FE103" s="6"/>
      <c r="FF103" s="6"/>
      <c r="FG103" s="6"/>
      <c r="FH103" s="6"/>
      <c r="FI103" s="6"/>
      <c r="FJ103" s="6"/>
    </row>
    <row r="104" spans="1:166"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c r="EY104" s="6"/>
      <c r="EZ104" s="6"/>
      <c r="FA104" s="6"/>
      <c r="FB104" s="6"/>
      <c r="FC104" s="6"/>
      <c r="FD104" s="6"/>
      <c r="FE104" s="6"/>
      <c r="FF104" s="6"/>
      <c r="FG104" s="6"/>
      <c r="FH104" s="6"/>
      <c r="FI104" s="6"/>
      <c r="FJ104" s="6"/>
    </row>
    <row r="105" spans="1:166"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c r="DQ105" s="6"/>
      <c r="DR105" s="6"/>
      <c r="DS105" s="6"/>
      <c r="DT105" s="6"/>
      <c r="DU105" s="6"/>
      <c r="DV105" s="6"/>
      <c r="DW105" s="6"/>
      <c r="DX105" s="6"/>
      <c r="DY105" s="6"/>
      <c r="DZ105" s="6"/>
      <c r="EA105" s="6"/>
      <c r="EB105" s="6"/>
      <c r="EC105" s="6"/>
      <c r="ED105" s="6"/>
      <c r="EE105" s="6"/>
      <c r="EF105" s="6"/>
      <c r="EG105" s="6"/>
      <c r="EH105" s="6"/>
      <c r="EI105" s="6"/>
      <c r="EJ105" s="6"/>
      <c r="EK105" s="6"/>
      <c r="EL105" s="6"/>
      <c r="EM105" s="6"/>
      <c r="EN105" s="6"/>
      <c r="EO105" s="6"/>
      <c r="EP105" s="6"/>
      <c r="EQ105" s="6"/>
      <c r="ER105" s="6"/>
      <c r="ES105" s="6"/>
      <c r="ET105" s="6"/>
      <c r="EU105" s="6"/>
      <c r="EV105" s="6"/>
      <c r="EW105" s="6"/>
      <c r="EX105" s="6"/>
      <c r="EY105" s="6"/>
      <c r="EZ105" s="6"/>
      <c r="FA105" s="6"/>
      <c r="FB105" s="6"/>
      <c r="FC105" s="6"/>
      <c r="FD105" s="6"/>
      <c r="FE105" s="6"/>
      <c r="FF105" s="6"/>
      <c r="FG105" s="6"/>
      <c r="FH105" s="6"/>
      <c r="FI105" s="6"/>
      <c r="FJ105" s="6"/>
    </row>
    <row r="106" spans="1:166"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row>
    <row r="107" spans="1:166"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row>
    <row r="108" spans="1:166"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row>
    <row r="109" spans="1:166"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row>
    <row r="110" spans="1:166"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row>
    <row r="111" spans="1:166"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c r="FB111" s="6"/>
      <c r="FC111" s="6"/>
      <c r="FD111" s="6"/>
      <c r="FE111" s="6"/>
      <c r="FF111" s="6"/>
      <c r="FG111" s="6"/>
      <c r="FH111" s="6"/>
      <c r="FI111" s="6"/>
      <c r="FJ111" s="6"/>
    </row>
    <row r="112" spans="1:166"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c r="FB112" s="6"/>
      <c r="FC112" s="6"/>
      <c r="FD112" s="6"/>
      <c r="FE112" s="6"/>
      <c r="FF112" s="6"/>
      <c r="FG112" s="6"/>
      <c r="FH112" s="6"/>
      <c r="FI112" s="6"/>
      <c r="FJ112" s="6"/>
    </row>
    <row r="113" spans="1:166"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row>
    <row r="114" spans="1:166"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row>
    <row r="115" spans="1:166"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c r="FB115" s="6"/>
      <c r="FC115" s="6"/>
      <c r="FD115" s="6"/>
      <c r="FE115" s="6"/>
      <c r="FF115" s="6"/>
      <c r="FG115" s="6"/>
      <c r="FH115" s="6"/>
      <c r="FI115" s="6"/>
      <c r="FJ115" s="6"/>
    </row>
    <row r="116" spans="1:166"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row>
    <row r="117" spans="1:166"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row>
    <row r="118" spans="1:166"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row>
    <row r="119" spans="1:166"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row>
    <row r="120" spans="1:166"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row>
    <row r="121" spans="1:166"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row>
    <row r="122" spans="1:166"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row>
    <row r="123" spans="1:166"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row>
    <row r="124" spans="1:166"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row>
    <row r="125" spans="1:166"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row>
    <row r="126" spans="1:166"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row>
    <row r="127" spans="1:166"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row>
    <row r="128" spans="1:166"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row>
    <row r="129" spans="1:166"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row>
    <row r="130" spans="1:166"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row>
    <row r="131" spans="1:166"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row>
    <row r="132" spans="1:166"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row>
    <row r="133" spans="1:166"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c r="EE133" s="6"/>
      <c r="EF133" s="6"/>
      <c r="EG133" s="6"/>
      <c r="EH133" s="6"/>
      <c r="EI133" s="6"/>
      <c r="EJ133" s="6"/>
      <c r="EK133" s="6"/>
      <c r="EL133" s="6"/>
      <c r="EM133" s="6"/>
      <c r="EN133" s="6"/>
      <c r="EO133" s="6"/>
      <c r="EP133" s="6"/>
      <c r="EQ133" s="6"/>
      <c r="ER133" s="6"/>
      <c r="ES133" s="6"/>
      <c r="ET133" s="6"/>
      <c r="EU133" s="6"/>
      <c r="EV133" s="6"/>
      <c r="EW133" s="6"/>
      <c r="EX133" s="6"/>
      <c r="EY133" s="6"/>
      <c r="EZ133" s="6"/>
      <c r="FA133" s="6"/>
      <c r="FB133" s="6"/>
      <c r="FC133" s="6"/>
      <c r="FD133" s="6"/>
      <c r="FE133" s="6"/>
      <c r="FF133" s="6"/>
      <c r="FG133" s="6"/>
      <c r="FH133" s="6"/>
      <c r="FI133" s="6"/>
      <c r="FJ133" s="6"/>
    </row>
    <row r="134" spans="1:166"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row>
    <row r="135" spans="1:166"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row>
    <row r="136" spans="1:166"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row>
    <row r="137" spans="1:166"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row>
    <row r="138" spans="1:166"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row>
    <row r="139" spans="1:166"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A139" s="6"/>
      <c r="FB139" s="6"/>
      <c r="FC139" s="6"/>
      <c r="FD139" s="6"/>
      <c r="FE139" s="6"/>
      <c r="FF139" s="6"/>
      <c r="FG139" s="6"/>
      <c r="FH139" s="6"/>
      <c r="FI139" s="6"/>
      <c r="FJ139" s="6"/>
    </row>
    <row r="140" spans="1:166"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A140" s="6"/>
      <c r="FB140" s="6"/>
      <c r="FC140" s="6"/>
      <c r="FD140" s="6"/>
      <c r="FE140" s="6"/>
      <c r="FF140" s="6"/>
      <c r="FG140" s="6"/>
      <c r="FH140" s="6"/>
      <c r="FI140" s="6"/>
      <c r="FJ140" s="6"/>
    </row>
    <row r="141" spans="1:166"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c r="FB141" s="6"/>
      <c r="FC141" s="6"/>
      <c r="FD141" s="6"/>
      <c r="FE141" s="6"/>
      <c r="FF141" s="6"/>
      <c r="FG141" s="6"/>
      <c r="FH141" s="6"/>
      <c r="FI141" s="6"/>
      <c r="FJ141" s="6"/>
    </row>
    <row r="142" spans="1:166"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row>
    <row r="143" spans="1:166"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c r="FB143" s="6"/>
      <c r="FC143" s="6"/>
      <c r="FD143" s="6"/>
      <c r="FE143" s="6"/>
      <c r="FF143" s="6"/>
      <c r="FG143" s="6"/>
      <c r="FH143" s="6"/>
      <c r="FI143" s="6"/>
      <c r="FJ143" s="6"/>
    </row>
    <row r="144" spans="1:166"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c r="FB144" s="6"/>
      <c r="FC144" s="6"/>
      <c r="FD144" s="6"/>
      <c r="FE144" s="6"/>
      <c r="FF144" s="6"/>
      <c r="FG144" s="6"/>
      <c r="FH144" s="6"/>
      <c r="FI144" s="6"/>
      <c r="FJ144" s="6"/>
    </row>
    <row r="145" spans="1:166"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c r="FB145" s="6"/>
      <c r="FC145" s="6"/>
      <c r="FD145" s="6"/>
      <c r="FE145" s="6"/>
      <c r="FF145" s="6"/>
      <c r="FG145" s="6"/>
      <c r="FH145" s="6"/>
      <c r="FI145" s="6"/>
      <c r="FJ145" s="6"/>
    </row>
    <row r="146" spans="1:166"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c r="FB146" s="6"/>
      <c r="FC146" s="6"/>
      <c r="FD146" s="6"/>
      <c r="FE146" s="6"/>
      <c r="FF146" s="6"/>
      <c r="FG146" s="6"/>
      <c r="FH146" s="6"/>
      <c r="FI146" s="6"/>
      <c r="FJ146" s="6"/>
    </row>
    <row r="147" spans="1:166"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row>
    <row r="148" spans="1:166"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A148" s="6"/>
      <c r="FB148" s="6"/>
      <c r="FC148" s="6"/>
      <c r="FD148" s="6"/>
      <c r="FE148" s="6"/>
      <c r="FF148" s="6"/>
      <c r="FG148" s="6"/>
      <c r="FH148" s="6"/>
      <c r="FI148" s="6"/>
      <c r="FJ148" s="6"/>
    </row>
    <row r="149" spans="1:166"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c r="FB149" s="6"/>
      <c r="FC149" s="6"/>
      <c r="FD149" s="6"/>
      <c r="FE149" s="6"/>
      <c r="FF149" s="6"/>
      <c r="FG149" s="6"/>
      <c r="FH149" s="6"/>
      <c r="FI149" s="6"/>
      <c r="FJ149" s="6"/>
    </row>
    <row r="150" spans="1:166"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c r="FB150" s="6"/>
      <c r="FC150" s="6"/>
      <c r="FD150" s="6"/>
      <c r="FE150" s="6"/>
      <c r="FF150" s="6"/>
      <c r="FG150" s="6"/>
      <c r="FH150" s="6"/>
      <c r="FI150" s="6"/>
      <c r="FJ150" s="6"/>
    </row>
    <row r="151" spans="1:166"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A151" s="6"/>
      <c r="FB151" s="6"/>
      <c r="FC151" s="6"/>
      <c r="FD151" s="6"/>
      <c r="FE151" s="6"/>
      <c r="FF151" s="6"/>
      <c r="FG151" s="6"/>
      <c r="FH151" s="6"/>
      <c r="FI151" s="6"/>
      <c r="FJ151" s="6"/>
    </row>
    <row r="152" spans="1:166"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c r="EE152" s="6"/>
      <c r="EF152" s="6"/>
      <c r="EG152" s="6"/>
      <c r="EH152" s="6"/>
      <c r="EI152" s="6"/>
      <c r="EJ152" s="6"/>
      <c r="EK152" s="6"/>
      <c r="EL152" s="6"/>
      <c r="EM152" s="6"/>
      <c r="EN152" s="6"/>
      <c r="EO152" s="6"/>
      <c r="EP152" s="6"/>
      <c r="EQ152" s="6"/>
      <c r="ER152" s="6"/>
      <c r="ES152" s="6"/>
      <c r="ET152" s="6"/>
      <c r="EU152" s="6"/>
      <c r="EV152" s="6"/>
      <c r="EW152" s="6"/>
      <c r="EX152" s="6"/>
      <c r="EY152" s="6"/>
      <c r="EZ152" s="6"/>
      <c r="FA152" s="6"/>
      <c r="FB152" s="6"/>
      <c r="FC152" s="6"/>
      <c r="FD152" s="6"/>
      <c r="FE152" s="6"/>
      <c r="FF152" s="6"/>
      <c r="FG152" s="6"/>
      <c r="FH152" s="6"/>
      <c r="FI152" s="6"/>
      <c r="FJ152" s="6"/>
    </row>
    <row r="153" spans="1:166"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c r="EE153" s="6"/>
      <c r="EF153" s="6"/>
      <c r="EG153" s="6"/>
      <c r="EH153" s="6"/>
      <c r="EI153" s="6"/>
      <c r="EJ153" s="6"/>
      <c r="EK153" s="6"/>
      <c r="EL153" s="6"/>
      <c r="EM153" s="6"/>
      <c r="EN153" s="6"/>
      <c r="EO153" s="6"/>
      <c r="EP153" s="6"/>
      <c r="EQ153" s="6"/>
      <c r="ER153" s="6"/>
      <c r="ES153" s="6"/>
      <c r="ET153" s="6"/>
      <c r="EU153" s="6"/>
      <c r="EV153" s="6"/>
      <c r="EW153" s="6"/>
      <c r="EX153" s="6"/>
      <c r="EY153" s="6"/>
      <c r="EZ153" s="6"/>
      <c r="FA153" s="6"/>
      <c r="FB153" s="6"/>
      <c r="FC153" s="6"/>
      <c r="FD153" s="6"/>
      <c r="FE153" s="6"/>
      <c r="FF153" s="6"/>
      <c r="FG153" s="6"/>
      <c r="FH153" s="6"/>
      <c r="FI153" s="6"/>
      <c r="FJ153" s="6"/>
    </row>
    <row r="154" spans="1:166"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c r="FB154" s="6"/>
      <c r="FC154" s="6"/>
      <c r="FD154" s="6"/>
      <c r="FE154" s="6"/>
      <c r="FF154" s="6"/>
      <c r="FG154" s="6"/>
      <c r="FH154" s="6"/>
      <c r="FI154" s="6"/>
      <c r="FJ154" s="6"/>
    </row>
    <row r="155" spans="1:166"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c r="DJ155" s="6"/>
      <c r="DK155" s="6"/>
      <c r="DL155" s="6"/>
      <c r="DM155" s="6"/>
      <c r="DN155" s="6"/>
      <c r="DO155" s="6"/>
      <c r="DP155" s="6"/>
      <c r="DQ155" s="6"/>
      <c r="DR155" s="6"/>
      <c r="DS155" s="6"/>
      <c r="DT155" s="6"/>
      <c r="DU155" s="6"/>
      <c r="DV155" s="6"/>
      <c r="DW155" s="6"/>
      <c r="DX155" s="6"/>
      <c r="DY155" s="6"/>
      <c r="DZ155" s="6"/>
      <c r="EA155" s="6"/>
      <c r="EB155" s="6"/>
      <c r="EC155" s="6"/>
      <c r="ED155" s="6"/>
      <c r="EE155" s="6"/>
      <c r="EF155" s="6"/>
      <c r="EG155" s="6"/>
      <c r="EH155" s="6"/>
      <c r="EI155" s="6"/>
      <c r="EJ155" s="6"/>
      <c r="EK155" s="6"/>
      <c r="EL155" s="6"/>
      <c r="EM155" s="6"/>
      <c r="EN155" s="6"/>
      <c r="EO155" s="6"/>
      <c r="EP155" s="6"/>
      <c r="EQ155" s="6"/>
      <c r="ER155" s="6"/>
      <c r="ES155" s="6"/>
      <c r="ET155" s="6"/>
      <c r="EU155" s="6"/>
      <c r="EV155" s="6"/>
      <c r="EW155" s="6"/>
      <c r="EX155" s="6"/>
      <c r="EY155" s="6"/>
      <c r="EZ155" s="6"/>
      <c r="FA155" s="6"/>
      <c r="FB155" s="6"/>
      <c r="FC155" s="6"/>
      <c r="FD155" s="6"/>
      <c r="FE155" s="6"/>
      <c r="FF155" s="6"/>
      <c r="FG155" s="6"/>
      <c r="FH155" s="6"/>
      <c r="FI155" s="6"/>
      <c r="FJ155" s="6"/>
    </row>
    <row r="156" spans="1:166"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c r="EN156" s="6"/>
      <c r="EO156" s="6"/>
      <c r="EP156" s="6"/>
      <c r="EQ156" s="6"/>
      <c r="ER156" s="6"/>
      <c r="ES156" s="6"/>
      <c r="ET156" s="6"/>
      <c r="EU156" s="6"/>
      <c r="EV156" s="6"/>
      <c r="EW156" s="6"/>
      <c r="EX156" s="6"/>
      <c r="EY156" s="6"/>
      <c r="EZ156" s="6"/>
      <c r="FA156" s="6"/>
      <c r="FB156" s="6"/>
      <c r="FC156" s="6"/>
      <c r="FD156" s="6"/>
      <c r="FE156" s="6"/>
      <c r="FF156" s="6"/>
      <c r="FG156" s="6"/>
      <c r="FH156" s="6"/>
      <c r="FI156" s="6"/>
      <c r="FJ156" s="6"/>
    </row>
    <row r="157" spans="1:166"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row>
    <row r="158" spans="1:166"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c r="FB158" s="6"/>
      <c r="FC158" s="6"/>
      <c r="FD158" s="6"/>
      <c r="FE158" s="6"/>
      <c r="FF158" s="6"/>
      <c r="FG158" s="6"/>
      <c r="FH158" s="6"/>
      <c r="FI158" s="6"/>
      <c r="FJ158" s="6"/>
    </row>
    <row r="159" spans="1:166"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row>
    <row r="160" spans="1:166"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row>
    <row r="161" spans="1:166"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c r="FB161" s="6"/>
      <c r="FC161" s="6"/>
      <c r="FD161" s="6"/>
      <c r="FE161" s="6"/>
      <c r="FF161" s="6"/>
      <c r="FG161" s="6"/>
      <c r="FH161" s="6"/>
      <c r="FI161" s="6"/>
      <c r="FJ161" s="6"/>
    </row>
    <row r="162" spans="1:166"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row>
    <row r="163" spans="1:166"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row>
    <row r="164" spans="1:166"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c r="EN164" s="6"/>
      <c r="EO164" s="6"/>
      <c r="EP164" s="6"/>
      <c r="EQ164" s="6"/>
      <c r="ER164" s="6"/>
      <c r="ES164" s="6"/>
      <c r="ET164" s="6"/>
      <c r="EU164" s="6"/>
      <c r="EV164" s="6"/>
      <c r="EW164" s="6"/>
      <c r="EX164" s="6"/>
      <c r="EY164" s="6"/>
      <c r="EZ164" s="6"/>
      <c r="FA164" s="6"/>
      <c r="FB164" s="6"/>
      <c r="FC164" s="6"/>
      <c r="FD164" s="6"/>
      <c r="FE164" s="6"/>
      <c r="FF164" s="6"/>
      <c r="FG164" s="6"/>
      <c r="FH164" s="6"/>
      <c r="FI164" s="6"/>
      <c r="FJ164" s="6"/>
    </row>
    <row r="165" spans="1:166"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c r="FB165" s="6"/>
      <c r="FC165" s="6"/>
      <c r="FD165" s="6"/>
      <c r="FE165" s="6"/>
      <c r="FF165" s="6"/>
      <c r="FG165" s="6"/>
      <c r="FH165" s="6"/>
      <c r="FI165" s="6"/>
      <c r="FJ165" s="6"/>
    </row>
    <row r="166" spans="1:166"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row>
    <row r="167" spans="1:166"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row>
    <row r="168" spans="1:166"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row>
    <row r="169" spans="1:166"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row>
    <row r="170" spans="1:166"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row>
    <row r="171" spans="1:166"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row>
    <row r="172" spans="1:166"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row>
    <row r="173" spans="1:166"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row>
    <row r="174" spans="1:166"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row>
    <row r="175" spans="1:166"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row>
    <row r="176" spans="1:166"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row>
    <row r="177" spans="1:166"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row>
    <row r="178" spans="1:166"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row>
    <row r="179" spans="1:166"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row>
    <row r="180" spans="1:166"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row>
    <row r="181" spans="1:166"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row>
    <row r="182" spans="1:166"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row>
    <row r="183" spans="1:166"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row>
    <row r="184" spans="1:166"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row>
    <row r="185" spans="1:166"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row>
    <row r="186" spans="1:166"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row>
    <row r="187" spans="1:166"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row>
    <row r="188" spans="1:166"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row>
    <row r="189" spans="1:166"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row>
    <row r="190" spans="1:166"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row>
    <row r="191" spans="1:166"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row>
    <row r="192" spans="1:166"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row>
    <row r="193" spans="1:166"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row>
    <row r="194" spans="1:166"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row>
    <row r="195" spans="1:166"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row>
    <row r="196" spans="1:166"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row>
    <row r="197" spans="1:166"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row>
    <row r="198" spans="1:166"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row>
    <row r="199" spans="1:166"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c r="FB199" s="6"/>
      <c r="FC199" s="6"/>
      <c r="FD199" s="6"/>
      <c r="FE199" s="6"/>
      <c r="FF199" s="6"/>
      <c r="FG199" s="6"/>
      <c r="FH199" s="6"/>
      <c r="FI199" s="6"/>
      <c r="FJ199" s="6"/>
    </row>
    <row r="200" spans="1:166"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c r="FB200" s="6"/>
      <c r="FC200" s="6"/>
      <c r="FD200" s="6"/>
      <c r="FE200" s="6"/>
      <c r="FF200" s="6"/>
      <c r="FG200" s="6"/>
      <c r="FH200" s="6"/>
      <c r="FI200" s="6"/>
      <c r="FJ200" s="6"/>
    </row>
    <row r="201" spans="1:166"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c r="FB201" s="6"/>
      <c r="FC201" s="6"/>
      <c r="FD201" s="6"/>
      <c r="FE201" s="6"/>
      <c r="FF201" s="6"/>
      <c r="FG201" s="6"/>
      <c r="FH201" s="6"/>
      <c r="FI201" s="6"/>
      <c r="FJ201" s="6"/>
    </row>
    <row r="202" spans="1:166"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row>
    <row r="203" spans="1:166"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row>
    <row r="204" spans="1:166"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c r="DJ204" s="6"/>
      <c r="DK204" s="6"/>
      <c r="DL204" s="6"/>
      <c r="DM204" s="6"/>
      <c r="DN204" s="6"/>
      <c r="DO204" s="6"/>
      <c r="DP204" s="6"/>
      <c r="DQ204" s="6"/>
      <c r="DR204" s="6"/>
      <c r="DS204" s="6"/>
      <c r="DT204" s="6"/>
      <c r="DU204" s="6"/>
      <c r="DV204" s="6"/>
      <c r="DW204" s="6"/>
      <c r="DX204" s="6"/>
      <c r="DY204" s="6"/>
      <c r="DZ204" s="6"/>
      <c r="EA204" s="6"/>
      <c r="EB204" s="6"/>
      <c r="EC204" s="6"/>
      <c r="ED204" s="6"/>
      <c r="EE204" s="6"/>
      <c r="EF204" s="6"/>
      <c r="EG204" s="6"/>
      <c r="EH204" s="6"/>
      <c r="EI204" s="6"/>
      <c r="EJ204" s="6"/>
      <c r="EK204" s="6"/>
      <c r="EL204" s="6"/>
      <c r="EM204" s="6"/>
      <c r="EN204" s="6"/>
      <c r="EO204" s="6"/>
      <c r="EP204" s="6"/>
      <c r="EQ204" s="6"/>
      <c r="ER204" s="6"/>
      <c r="ES204" s="6"/>
      <c r="ET204" s="6"/>
      <c r="EU204" s="6"/>
      <c r="EV204" s="6"/>
      <c r="EW204" s="6"/>
      <c r="EX204" s="6"/>
      <c r="EY204" s="6"/>
      <c r="EZ204" s="6"/>
      <c r="FA204" s="6"/>
      <c r="FB204" s="6"/>
      <c r="FC204" s="6"/>
      <c r="FD204" s="6"/>
      <c r="FE204" s="6"/>
      <c r="FF204" s="6"/>
      <c r="FG204" s="6"/>
      <c r="FH204" s="6"/>
      <c r="FI204" s="6"/>
      <c r="FJ204" s="6"/>
    </row>
    <row r="205" spans="1:166"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6"/>
      <c r="DO205" s="6"/>
      <c r="DP205" s="6"/>
      <c r="DQ205" s="6"/>
      <c r="DR205" s="6"/>
      <c r="DS205" s="6"/>
      <c r="DT205" s="6"/>
      <c r="DU205" s="6"/>
      <c r="DV205" s="6"/>
      <c r="DW205" s="6"/>
      <c r="DX205" s="6"/>
      <c r="DY205" s="6"/>
      <c r="DZ205" s="6"/>
      <c r="EA205" s="6"/>
      <c r="EB205" s="6"/>
      <c r="EC205" s="6"/>
      <c r="ED205" s="6"/>
      <c r="EE205" s="6"/>
      <c r="EF205" s="6"/>
      <c r="EG205" s="6"/>
      <c r="EH205" s="6"/>
      <c r="EI205" s="6"/>
      <c r="EJ205" s="6"/>
      <c r="EK205" s="6"/>
      <c r="EL205" s="6"/>
      <c r="EM205" s="6"/>
      <c r="EN205" s="6"/>
      <c r="EO205" s="6"/>
      <c r="EP205" s="6"/>
      <c r="EQ205" s="6"/>
      <c r="ER205" s="6"/>
      <c r="ES205" s="6"/>
      <c r="ET205" s="6"/>
      <c r="EU205" s="6"/>
      <c r="EV205" s="6"/>
      <c r="EW205" s="6"/>
      <c r="EX205" s="6"/>
      <c r="EY205" s="6"/>
      <c r="EZ205" s="6"/>
      <c r="FA205" s="6"/>
      <c r="FB205" s="6"/>
      <c r="FC205" s="6"/>
      <c r="FD205" s="6"/>
      <c r="FE205" s="6"/>
      <c r="FF205" s="6"/>
      <c r="FG205" s="6"/>
      <c r="FH205" s="6"/>
      <c r="FI205" s="6"/>
      <c r="FJ205" s="6"/>
    </row>
    <row r="206" spans="1:166"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c r="EN206" s="6"/>
      <c r="EO206" s="6"/>
      <c r="EP206" s="6"/>
      <c r="EQ206" s="6"/>
      <c r="ER206" s="6"/>
      <c r="ES206" s="6"/>
      <c r="ET206" s="6"/>
      <c r="EU206" s="6"/>
      <c r="EV206" s="6"/>
      <c r="EW206" s="6"/>
      <c r="EX206" s="6"/>
      <c r="EY206" s="6"/>
      <c r="EZ206" s="6"/>
      <c r="FA206" s="6"/>
      <c r="FB206" s="6"/>
      <c r="FC206" s="6"/>
      <c r="FD206" s="6"/>
      <c r="FE206" s="6"/>
      <c r="FF206" s="6"/>
      <c r="FG206" s="6"/>
      <c r="FH206" s="6"/>
      <c r="FI206" s="6"/>
      <c r="FJ206" s="6"/>
    </row>
    <row r="207" spans="1:166"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6"/>
      <c r="DO207" s="6"/>
      <c r="DP207" s="6"/>
      <c r="DQ207" s="6"/>
      <c r="DR207" s="6"/>
      <c r="DS207" s="6"/>
      <c r="DT207" s="6"/>
      <c r="DU207" s="6"/>
      <c r="DV207" s="6"/>
      <c r="DW207" s="6"/>
      <c r="DX207" s="6"/>
      <c r="DY207" s="6"/>
      <c r="DZ207" s="6"/>
      <c r="EA207" s="6"/>
      <c r="EB207" s="6"/>
      <c r="EC207" s="6"/>
      <c r="ED207" s="6"/>
      <c r="EE207" s="6"/>
      <c r="EF207" s="6"/>
      <c r="EG207" s="6"/>
      <c r="EH207" s="6"/>
      <c r="EI207" s="6"/>
      <c r="EJ207" s="6"/>
      <c r="EK207" s="6"/>
      <c r="EL207" s="6"/>
      <c r="EM207" s="6"/>
      <c r="EN207" s="6"/>
      <c r="EO207" s="6"/>
      <c r="EP207" s="6"/>
      <c r="EQ207" s="6"/>
      <c r="ER207" s="6"/>
      <c r="ES207" s="6"/>
      <c r="ET207" s="6"/>
      <c r="EU207" s="6"/>
      <c r="EV207" s="6"/>
      <c r="EW207" s="6"/>
      <c r="EX207" s="6"/>
      <c r="EY207" s="6"/>
      <c r="EZ207" s="6"/>
      <c r="FA207" s="6"/>
      <c r="FB207" s="6"/>
      <c r="FC207" s="6"/>
      <c r="FD207" s="6"/>
      <c r="FE207" s="6"/>
      <c r="FF207" s="6"/>
      <c r="FG207" s="6"/>
      <c r="FH207" s="6"/>
      <c r="FI207" s="6"/>
      <c r="FJ207" s="6"/>
    </row>
    <row r="208" spans="1:166"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c r="EN208" s="6"/>
      <c r="EO208" s="6"/>
      <c r="EP208" s="6"/>
      <c r="EQ208" s="6"/>
      <c r="ER208" s="6"/>
      <c r="ES208" s="6"/>
      <c r="ET208" s="6"/>
      <c r="EU208" s="6"/>
      <c r="EV208" s="6"/>
      <c r="EW208" s="6"/>
      <c r="EX208" s="6"/>
      <c r="EY208" s="6"/>
      <c r="EZ208" s="6"/>
      <c r="FA208" s="6"/>
      <c r="FB208" s="6"/>
      <c r="FC208" s="6"/>
      <c r="FD208" s="6"/>
      <c r="FE208" s="6"/>
      <c r="FF208" s="6"/>
      <c r="FG208" s="6"/>
      <c r="FH208" s="6"/>
      <c r="FI208" s="6"/>
      <c r="FJ208" s="6"/>
    </row>
    <row r="209" spans="1:166"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c r="EN209" s="6"/>
      <c r="EO209" s="6"/>
      <c r="EP209" s="6"/>
      <c r="EQ209" s="6"/>
      <c r="ER209" s="6"/>
      <c r="ES209" s="6"/>
      <c r="ET209" s="6"/>
      <c r="EU209" s="6"/>
      <c r="EV209" s="6"/>
      <c r="EW209" s="6"/>
      <c r="EX209" s="6"/>
      <c r="EY209" s="6"/>
      <c r="EZ209" s="6"/>
      <c r="FA209" s="6"/>
      <c r="FB209" s="6"/>
      <c r="FC209" s="6"/>
      <c r="FD209" s="6"/>
      <c r="FE209" s="6"/>
      <c r="FF209" s="6"/>
      <c r="FG209" s="6"/>
      <c r="FH209" s="6"/>
      <c r="FI209" s="6"/>
      <c r="FJ209" s="6"/>
    </row>
    <row r="210" spans="1:166"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c r="FB210" s="6"/>
      <c r="FC210" s="6"/>
      <c r="FD210" s="6"/>
      <c r="FE210" s="6"/>
      <c r="FF210" s="6"/>
      <c r="FG210" s="6"/>
      <c r="FH210" s="6"/>
      <c r="FI210" s="6"/>
      <c r="FJ210" s="6"/>
    </row>
    <row r="211" spans="1:166"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c r="FB211" s="6"/>
      <c r="FC211" s="6"/>
      <c r="FD211" s="6"/>
      <c r="FE211" s="6"/>
      <c r="FF211" s="6"/>
      <c r="FG211" s="6"/>
      <c r="FH211" s="6"/>
      <c r="FI211" s="6"/>
      <c r="FJ211" s="6"/>
    </row>
    <row r="212" spans="1:166"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c r="EN212" s="6"/>
      <c r="EO212" s="6"/>
      <c r="EP212" s="6"/>
      <c r="EQ212" s="6"/>
      <c r="ER212" s="6"/>
      <c r="ES212" s="6"/>
      <c r="ET212" s="6"/>
      <c r="EU212" s="6"/>
      <c r="EV212" s="6"/>
      <c r="EW212" s="6"/>
      <c r="EX212" s="6"/>
      <c r="EY212" s="6"/>
      <c r="EZ212" s="6"/>
      <c r="FA212" s="6"/>
      <c r="FB212" s="6"/>
      <c r="FC212" s="6"/>
      <c r="FD212" s="6"/>
      <c r="FE212" s="6"/>
      <c r="FF212" s="6"/>
      <c r="FG212" s="6"/>
      <c r="FH212" s="6"/>
      <c r="FI212" s="6"/>
      <c r="FJ212" s="6"/>
    </row>
    <row r="213" spans="1:166"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c r="FB213" s="6"/>
      <c r="FC213" s="6"/>
      <c r="FD213" s="6"/>
      <c r="FE213" s="6"/>
      <c r="FF213" s="6"/>
      <c r="FG213" s="6"/>
      <c r="FH213" s="6"/>
      <c r="FI213" s="6"/>
      <c r="FJ213" s="6"/>
    </row>
    <row r="214" spans="1:166"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c r="FB214" s="6"/>
      <c r="FC214" s="6"/>
      <c r="FD214" s="6"/>
      <c r="FE214" s="6"/>
      <c r="FF214" s="6"/>
      <c r="FG214" s="6"/>
      <c r="FH214" s="6"/>
      <c r="FI214" s="6"/>
      <c r="FJ214" s="6"/>
    </row>
    <row r="215" spans="1:166"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c r="FB215" s="6"/>
      <c r="FC215" s="6"/>
      <c r="FD215" s="6"/>
      <c r="FE215" s="6"/>
      <c r="FF215" s="6"/>
      <c r="FG215" s="6"/>
      <c r="FH215" s="6"/>
      <c r="FI215" s="6"/>
      <c r="FJ215" s="6"/>
    </row>
    <row r="216" spans="1:166"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c r="EN216" s="6"/>
      <c r="EO216" s="6"/>
      <c r="EP216" s="6"/>
      <c r="EQ216" s="6"/>
      <c r="ER216" s="6"/>
      <c r="ES216" s="6"/>
      <c r="ET216" s="6"/>
      <c r="EU216" s="6"/>
      <c r="EV216" s="6"/>
      <c r="EW216" s="6"/>
      <c r="EX216" s="6"/>
      <c r="EY216" s="6"/>
      <c r="EZ216" s="6"/>
      <c r="FA216" s="6"/>
      <c r="FB216" s="6"/>
      <c r="FC216" s="6"/>
      <c r="FD216" s="6"/>
      <c r="FE216" s="6"/>
      <c r="FF216" s="6"/>
      <c r="FG216" s="6"/>
      <c r="FH216" s="6"/>
      <c r="FI216" s="6"/>
      <c r="FJ216" s="6"/>
    </row>
    <row r="217" spans="1:166"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c r="EN217" s="6"/>
      <c r="EO217" s="6"/>
      <c r="EP217" s="6"/>
      <c r="EQ217" s="6"/>
      <c r="ER217" s="6"/>
      <c r="ES217" s="6"/>
      <c r="ET217" s="6"/>
      <c r="EU217" s="6"/>
      <c r="EV217" s="6"/>
      <c r="EW217" s="6"/>
      <c r="EX217" s="6"/>
      <c r="EY217" s="6"/>
      <c r="EZ217" s="6"/>
      <c r="FA217" s="6"/>
      <c r="FB217" s="6"/>
      <c r="FC217" s="6"/>
      <c r="FD217" s="6"/>
      <c r="FE217" s="6"/>
      <c r="FF217" s="6"/>
      <c r="FG217" s="6"/>
      <c r="FH217" s="6"/>
      <c r="FI217" s="6"/>
      <c r="FJ217" s="6"/>
    </row>
    <row r="218" spans="1:166"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6"/>
      <c r="FF218" s="6"/>
      <c r="FG218" s="6"/>
      <c r="FH218" s="6"/>
      <c r="FI218" s="6"/>
      <c r="FJ218" s="6"/>
    </row>
    <row r="219" spans="1:166"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6"/>
      <c r="EH219" s="6"/>
      <c r="EI219" s="6"/>
      <c r="EJ219" s="6"/>
      <c r="EK219" s="6"/>
      <c r="EL219" s="6"/>
      <c r="EM219" s="6"/>
      <c r="EN219" s="6"/>
      <c r="EO219" s="6"/>
      <c r="EP219" s="6"/>
      <c r="EQ219" s="6"/>
      <c r="ER219" s="6"/>
      <c r="ES219" s="6"/>
      <c r="ET219" s="6"/>
      <c r="EU219" s="6"/>
      <c r="EV219" s="6"/>
      <c r="EW219" s="6"/>
      <c r="EX219" s="6"/>
      <c r="EY219" s="6"/>
      <c r="EZ219" s="6"/>
      <c r="FA219" s="6"/>
      <c r="FB219" s="6"/>
      <c r="FC219" s="6"/>
      <c r="FD219" s="6"/>
      <c r="FE219" s="6"/>
      <c r="FF219" s="6"/>
      <c r="FG219" s="6"/>
      <c r="FH219" s="6"/>
      <c r="FI219" s="6"/>
      <c r="FJ219" s="6"/>
    </row>
    <row r="220" spans="1:166"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c r="EN220" s="6"/>
      <c r="EO220" s="6"/>
      <c r="EP220" s="6"/>
      <c r="EQ220" s="6"/>
      <c r="ER220" s="6"/>
      <c r="ES220" s="6"/>
      <c r="ET220" s="6"/>
      <c r="EU220" s="6"/>
      <c r="EV220" s="6"/>
      <c r="EW220" s="6"/>
      <c r="EX220" s="6"/>
      <c r="EY220" s="6"/>
      <c r="EZ220" s="6"/>
      <c r="FA220" s="6"/>
      <c r="FB220" s="6"/>
      <c r="FC220" s="6"/>
      <c r="FD220" s="6"/>
      <c r="FE220" s="6"/>
      <c r="FF220" s="6"/>
      <c r="FG220" s="6"/>
      <c r="FH220" s="6"/>
      <c r="FI220" s="6"/>
      <c r="FJ220" s="6"/>
    </row>
    <row r="221" spans="1:166"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6"/>
      <c r="FF221" s="6"/>
      <c r="FG221" s="6"/>
      <c r="FH221" s="6"/>
      <c r="FI221" s="6"/>
      <c r="FJ221" s="6"/>
    </row>
    <row r="222" spans="1:166"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6"/>
      <c r="EH222" s="6"/>
      <c r="EI222" s="6"/>
      <c r="EJ222" s="6"/>
      <c r="EK222" s="6"/>
      <c r="EL222" s="6"/>
      <c r="EM222" s="6"/>
      <c r="EN222" s="6"/>
      <c r="EO222" s="6"/>
      <c r="EP222" s="6"/>
      <c r="EQ222" s="6"/>
      <c r="ER222" s="6"/>
      <c r="ES222" s="6"/>
      <c r="ET222" s="6"/>
      <c r="EU222" s="6"/>
      <c r="EV222" s="6"/>
      <c r="EW222" s="6"/>
      <c r="EX222" s="6"/>
      <c r="EY222" s="6"/>
      <c r="EZ222" s="6"/>
      <c r="FA222" s="6"/>
      <c r="FB222" s="6"/>
      <c r="FC222" s="6"/>
      <c r="FD222" s="6"/>
      <c r="FE222" s="6"/>
      <c r="FF222" s="6"/>
      <c r="FG222" s="6"/>
      <c r="FH222" s="6"/>
      <c r="FI222" s="6"/>
      <c r="FJ222" s="6"/>
    </row>
    <row r="223" spans="1:166"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6"/>
      <c r="EH223" s="6"/>
      <c r="EI223" s="6"/>
      <c r="EJ223" s="6"/>
      <c r="EK223" s="6"/>
      <c r="EL223" s="6"/>
      <c r="EM223" s="6"/>
      <c r="EN223" s="6"/>
      <c r="EO223" s="6"/>
      <c r="EP223" s="6"/>
      <c r="EQ223" s="6"/>
      <c r="ER223" s="6"/>
      <c r="ES223" s="6"/>
      <c r="ET223" s="6"/>
      <c r="EU223" s="6"/>
      <c r="EV223" s="6"/>
      <c r="EW223" s="6"/>
      <c r="EX223" s="6"/>
      <c r="EY223" s="6"/>
      <c r="EZ223" s="6"/>
      <c r="FA223" s="6"/>
      <c r="FB223" s="6"/>
      <c r="FC223" s="6"/>
      <c r="FD223" s="6"/>
      <c r="FE223" s="6"/>
      <c r="FF223" s="6"/>
      <c r="FG223" s="6"/>
      <c r="FH223" s="6"/>
      <c r="FI223" s="6"/>
      <c r="FJ223" s="6"/>
    </row>
    <row r="224" spans="1:166"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6"/>
      <c r="EH224" s="6"/>
      <c r="EI224" s="6"/>
      <c r="EJ224" s="6"/>
      <c r="EK224" s="6"/>
      <c r="EL224" s="6"/>
      <c r="EM224" s="6"/>
      <c r="EN224" s="6"/>
      <c r="EO224" s="6"/>
      <c r="EP224" s="6"/>
      <c r="EQ224" s="6"/>
      <c r="ER224" s="6"/>
      <c r="ES224" s="6"/>
      <c r="ET224" s="6"/>
      <c r="EU224" s="6"/>
      <c r="EV224" s="6"/>
      <c r="EW224" s="6"/>
      <c r="EX224" s="6"/>
      <c r="EY224" s="6"/>
      <c r="EZ224" s="6"/>
      <c r="FA224" s="6"/>
      <c r="FB224" s="6"/>
      <c r="FC224" s="6"/>
      <c r="FD224" s="6"/>
      <c r="FE224" s="6"/>
      <c r="FF224" s="6"/>
      <c r="FG224" s="6"/>
      <c r="FH224" s="6"/>
      <c r="FI224" s="6"/>
      <c r="FJ224" s="6"/>
    </row>
    <row r="225" spans="1:166"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c r="EN225" s="6"/>
      <c r="EO225" s="6"/>
      <c r="EP225" s="6"/>
      <c r="EQ225" s="6"/>
      <c r="ER225" s="6"/>
      <c r="ES225" s="6"/>
      <c r="ET225" s="6"/>
      <c r="EU225" s="6"/>
      <c r="EV225" s="6"/>
      <c r="EW225" s="6"/>
      <c r="EX225" s="6"/>
      <c r="EY225" s="6"/>
      <c r="EZ225" s="6"/>
      <c r="FA225" s="6"/>
      <c r="FB225" s="6"/>
      <c r="FC225" s="6"/>
      <c r="FD225" s="6"/>
      <c r="FE225" s="6"/>
      <c r="FF225" s="6"/>
      <c r="FG225" s="6"/>
      <c r="FH225" s="6"/>
      <c r="FI225" s="6"/>
      <c r="FJ225" s="6"/>
    </row>
    <row r="226" spans="1:166"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6"/>
      <c r="FF226" s="6"/>
      <c r="FG226" s="6"/>
      <c r="FH226" s="6"/>
      <c r="FI226" s="6"/>
      <c r="FJ226" s="6"/>
    </row>
    <row r="227" spans="1:166"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6"/>
      <c r="FF227" s="6"/>
      <c r="FG227" s="6"/>
      <c r="FH227" s="6"/>
      <c r="FI227" s="6"/>
      <c r="FJ227" s="6"/>
    </row>
    <row r="228" spans="1:166"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c r="EN228" s="6"/>
      <c r="EO228" s="6"/>
      <c r="EP228" s="6"/>
      <c r="EQ228" s="6"/>
      <c r="ER228" s="6"/>
      <c r="ES228" s="6"/>
      <c r="ET228" s="6"/>
      <c r="EU228" s="6"/>
      <c r="EV228" s="6"/>
      <c r="EW228" s="6"/>
      <c r="EX228" s="6"/>
      <c r="EY228" s="6"/>
      <c r="EZ228" s="6"/>
      <c r="FA228" s="6"/>
      <c r="FB228" s="6"/>
      <c r="FC228" s="6"/>
      <c r="FD228" s="6"/>
      <c r="FE228" s="6"/>
      <c r="FF228" s="6"/>
      <c r="FG228" s="6"/>
      <c r="FH228" s="6"/>
      <c r="FI228" s="6"/>
      <c r="FJ228" s="6"/>
    </row>
    <row r="229" spans="1:166"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6"/>
      <c r="EW229" s="6"/>
      <c r="EX229" s="6"/>
      <c r="EY229" s="6"/>
      <c r="EZ229" s="6"/>
      <c r="FA229" s="6"/>
      <c r="FB229" s="6"/>
      <c r="FC229" s="6"/>
      <c r="FD229" s="6"/>
      <c r="FE229" s="6"/>
      <c r="FF229" s="6"/>
      <c r="FG229" s="6"/>
      <c r="FH229" s="6"/>
      <c r="FI229" s="6"/>
      <c r="FJ229" s="6"/>
    </row>
    <row r="230" spans="1:166"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6"/>
      <c r="FF230" s="6"/>
      <c r="FG230" s="6"/>
      <c r="FH230" s="6"/>
      <c r="FI230" s="6"/>
      <c r="FJ230" s="6"/>
    </row>
    <row r="231" spans="1:166"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6"/>
      <c r="EW231" s="6"/>
      <c r="EX231" s="6"/>
      <c r="EY231" s="6"/>
      <c r="EZ231" s="6"/>
      <c r="FA231" s="6"/>
      <c r="FB231" s="6"/>
      <c r="FC231" s="6"/>
      <c r="FD231" s="6"/>
      <c r="FE231" s="6"/>
      <c r="FF231" s="6"/>
      <c r="FG231" s="6"/>
      <c r="FH231" s="6"/>
      <c r="FI231" s="6"/>
      <c r="FJ231" s="6"/>
    </row>
    <row r="232" spans="1:166"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6"/>
      <c r="EH232" s="6"/>
      <c r="EI232" s="6"/>
      <c r="EJ232" s="6"/>
      <c r="EK232" s="6"/>
      <c r="EL232" s="6"/>
      <c r="EM232" s="6"/>
      <c r="EN232" s="6"/>
      <c r="EO232" s="6"/>
      <c r="EP232" s="6"/>
      <c r="EQ232" s="6"/>
      <c r="ER232" s="6"/>
      <c r="ES232" s="6"/>
      <c r="ET232" s="6"/>
      <c r="EU232" s="6"/>
      <c r="EV232" s="6"/>
      <c r="EW232" s="6"/>
      <c r="EX232" s="6"/>
      <c r="EY232" s="6"/>
      <c r="EZ232" s="6"/>
      <c r="FA232" s="6"/>
      <c r="FB232" s="6"/>
      <c r="FC232" s="6"/>
      <c r="FD232" s="6"/>
      <c r="FE232" s="6"/>
      <c r="FF232" s="6"/>
      <c r="FG232" s="6"/>
      <c r="FH232" s="6"/>
      <c r="FI232" s="6"/>
      <c r="FJ232" s="6"/>
    </row>
    <row r="233" spans="1:166"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6"/>
      <c r="FF233" s="6"/>
      <c r="FG233" s="6"/>
      <c r="FH233" s="6"/>
      <c r="FI233" s="6"/>
      <c r="FJ233" s="6"/>
    </row>
    <row r="234" spans="1:166"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row>
    <row r="235" spans="1:166"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c r="EN235" s="6"/>
      <c r="EO235" s="6"/>
      <c r="EP235" s="6"/>
      <c r="EQ235" s="6"/>
      <c r="ER235" s="6"/>
      <c r="ES235" s="6"/>
      <c r="ET235" s="6"/>
      <c r="EU235" s="6"/>
      <c r="EV235" s="6"/>
      <c r="EW235" s="6"/>
      <c r="EX235" s="6"/>
      <c r="EY235" s="6"/>
      <c r="EZ235" s="6"/>
      <c r="FA235" s="6"/>
      <c r="FB235" s="6"/>
      <c r="FC235" s="6"/>
      <c r="FD235" s="6"/>
      <c r="FE235" s="6"/>
      <c r="FF235" s="6"/>
      <c r="FG235" s="6"/>
      <c r="FH235" s="6"/>
      <c r="FI235" s="6"/>
      <c r="FJ235" s="6"/>
    </row>
    <row r="236" spans="1:166"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6"/>
      <c r="EW236" s="6"/>
      <c r="EX236" s="6"/>
      <c r="EY236" s="6"/>
      <c r="EZ236" s="6"/>
      <c r="FA236" s="6"/>
      <c r="FB236" s="6"/>
      <c r="FC236" s="6"/>
      <c r="FD236" s="6"/>
      <c r="FE236" s="6"/>
      <c r="FF236" s="6"/>
      <c r="FG236" s="6"/>
      <c r="FH236" s="6"/>
      <c r="FI236" s="6"/>
      <c r="FJ236" s="6"/>
    </row>
    <row r="237" spans="1:166"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row>
    <row r="238" spans="1:166"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6"/>
      <c r="FF238" s="6"/>
      <c r="FG238" s="6"/>
      <c r="FH238" s="6"/>
      <c r="FI238" s="6"/>
      <c r="FJ238" s="6"/>
    </row>
    <row r="239" spans="1:166"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c r="EN239" s="6"/>
      <c r="EO239" s="6"/>
      <c r="EP239" s="6"/>
      <c r="EQ239" s="6"/>
      <c r="ER239" s="6"/>
      <c r="ES239" s="6"/>
      <c r="ET239" s="6"/>
      <c r="EU239" s="6"/>
      <c r="EV239" s="6"/>
      <c r="EW239" s="6"/>
      <c r="EX239" s="6"/>
      <c r="EY239" s="6"/>
      <c r="EZ239" s="6"/>
      <c r="FA239" s="6"/>
      <c r="FB239" s="6"/>
      <c r="FC239" s="6"/>
      <c r="FD239" s="6"/>
      <c r="FE239" s="6"/>
      <c r="FF239" s="6"/>
      <c r="FG239" s="6"/>
      <c r="FH239" s="6"/>
      <c r="FI239" s="6"/>
      <c r="FJ239" s="6"/>
    </row>
    <row r="240" spans="1:166"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c r="EN240" s="6"/>
      <c r="EO240" s="6"/>
      <c r="EP240" s="6"/>
      <c r="EQ240" s="6"/>
      <c r="ER240" s="6"/>
      <c r="ES240" s="6"/>
      <c r="ET240" s="6"/>
      <c r="EU240" s="6"/>
      <c r="EV240" s="6"/>
      <c r="EW240" s="6"/>
      <c r="EX240" s="6"/>
      <c r="EY240" s="6"/>
      <c r="EZ240" s="6"/>
      <c r="FA240" s="6"/>
      <c r="FB240" s="6"/>
      <c r="FC240" s="6"/>
      <c r="FD240" s="6"/>
      <c r="FE240" s="6"/>
      <c r="FF240" s="6"/>
      <c r="FG240" s="6"/>
      <c r="FH240" s="6"/>
      <c r="FI240" s="6"/>
      <c r="FJ240" s="6"/>
    </row>
    <row r="241" spans="1:166"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row>
    <row r="242" spans="1:166"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c r="EN242" s="6"/>
      <c r="EO242" s="6"/>
      <c r="EP242" s="6"/>
      <c r="EQ242" s="6"/>
      <c r="ER242" s="6"/>
      <c r="ES242" s="6"/>
      <c r="ET242" s="6"/>
      <c r="EU242" s="6"/>
      <c r="EV242" s="6"/>
      <c r="EW242" s="6"/>
      <c r="EX242" s="6"/>
      <c r="EY242" s="6"/>
      <c r="EZ242" s="6"/>
      <c r="FA242" s="6"/>
      <c r="FB242" s="6"/>
      <c r="FC242" s="6"/>
      <c r="FD242" s="6"/>
      <c r="FE242" s="6"/>
      <c r="FF242" s="6"/>
      <c r="FG242" s="6"/>
      <c r="FH242" s="6"/>
      <c r="FI242" s="6"/>
      <c r="FJ242" s="6"/>
    </row>
    <row r="243" spans="1:166"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I243" s="6"/>
      <c r="FJ243" s="6"/>
    </row>
    <row r="244" spans="1:166"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J244" s="6"/>
    </row>
    <row r="245" spans="1:166"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row>
    <row r="246" spans="1:166"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J246" s="6"/>
    </row>
    <row r="247" spans="1:166"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6"/>
      <c r="EH247" s="6"/>
      <c r="EI247" s="6"/>
      <c r="EJ247" s="6"/>
      <c r="EK247" s="6"/>
      <c r="EL247" s="6"/>
      <c r="EM247" s="6"/>
      <c r="EN247" s="6"/>
      <c r="EO247" s="6"/>
      <c r="EP247" s="6"/>
      <c r="EQ247" s="6"/>
      <c r="ER247" s="6"/>
      <c r="ES247" s="6"/>
      <c r="ET247" s="6"/>
      <c r="EU247" s="6"/>
      <c r="EV247" s="6"/>
      <c r="EW247" s="6"/>
      <c r="EX247" s="6"/>
      <c r="EY247" s="6"/>
      <c r="EZ247" s="6"/>
      <c r="FA247" s="6"/>
      <c r="FB247" s="6"/>
      <c r="FC247" s="6"/>
      <c r="FD247" s="6"/>
      <c r="FE247" s="6"/>
      <c r="FF247" s="6"/>
      <c r="FG247" s="6"/>
      <c r="FH247" s="6"/>
      <c r="FI247" s="6"/>
      <c r="FJ247" s="6"/>
    </row>
    <row r="248" spans="1:166"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6"/>
      <c r="EH248" s="6"/>
      <c r="EI248" s="6"/>
      <c r="EJ248" s="6"/>
      <c r="EK248" s="6"/>
      <c r="EL248" s="6"/>
      <c r="EM248" s="6"/>
      <c r="EN248" s="6"/>
      <c r="EO248" s="6"/>
      <c r="EP248" s="6"/>
      <c r="EQ248" s="6"/>
      <c r="ER248" s="6"/>
      <c r="ES248" s="6"/>
      <c r="ET248" s="6"/>
      <c r="EU248" s="6"/>
      <c r="EV248" s="6"/>
      <c r="EW248" s="6"/>
      <c r="EX248" s="6"/>
      <c r="EY248" s="6"/>
      <c r="EZ248" s="6"/>
      <c r="FA248" s="6"/>
      <c r="FB248" s="6"/>
      <c r="FC248" s="6"/>
      <c r="FD248" s="6"/>
      <c r="FE248" s="6"/>
      <c r="FF248" s="6"/>
      <c r="FG248" s="6"/>
      <c r="FH248" s="6"/>
      <c r="FI248" s="6"/>
      <c r="FJ248" s="6"/>
    </row>
    <row r="249" spans="1:166"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row>
    <row r="250" spans="1:166"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row>
    <row r="251" spans="1:166"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J251" s="6"/>
    </row>
    <row r="252" spans="1:166"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J252" s="6"/>
    </row>
    <row r="253" spans="1:166"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J253" s="6"/>
    </row>
    <row r="254" spans="1:166"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row>
    <row r="255" spans="1:166"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row>
    <row r="256" spans="1:166"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6"/>
      <c r="DO256" s="6"/>
      <c r="DP256" s="6"/>
      <c r="DQ256" s="6"/>
      <c r="DR256" s="6"/>
      <c r="DS256" s="6"/>
      <c r="DT256" s="6"/>
      <c r="DU256" s="6"/>
      <c r="DV256" s="6"/>
      <c r="DW256" s="6"/>
      <c r="DX256" s="6"/>
      <c r="DY256" s="6"/>
      <c r="DZ256" s="6"/>
      <c r="EA256" s="6"/>
      <c r="EB256" s="6"/>
      <c r="EC256" s="6"/>
      <c r="ED256" s="6"/>
      <c r="EE256" s="6"/>
      <c r="EF256" s="6"/>
      <c r="EG256" s="6"/>
      <c r="EH256" s="6"/>
      <c r="EI256" s="6"/>
      <c r="EJ256" s="6"/>
      <c r="EK256" s="6"/>
      <c r="EL256" s="6"/>
      <c r="EM256" s="6"/>
      <c r="EN256" s="6"/>
      <c r="EO256" s="6"/>
      <c r="EP256" s="6"/>
      <c r="EQ256" s="6"/>
      <c r="ER256" s="6"/>
      <c r="ES256" s="6"/>
      <c r="ET256" s="6"/>
      <c r="EU256" s="6"/>
      <c r="EV256" s="6"/>
      <c r="EW256" s="6"/>
      <c r="EX256" s="6"/>
      <c r="EY256" s="6"/>
      <c r="EZ256" s="6"/>
      <c r="FA256" s="6"/>
      <c r="FB256" s="6"/>
      <c r="FC256" s="6"/>
      <c r="FD256" s="6"/>
      <c r="FE256" s="6"/>
      <c r="FF256" s="6"/>
      <c r="FG256" s="6"/>
      <c r="FH256" s="6"/>
      <c r="FI256" s="6"/>
      <c r="FJ256" s="6"/>
    </row>
    <row r="257" spans="1:166"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c r="DJ257" s="6"/>
      <c r="DK257" s="6"/>
      <c r="DL257" s="6"/>
      <c r="DM257" s="6"/>
      <c r="DN257" s="6"/>
      <c r="DO257" s="6"/>
      <c r="DP257" s="6"/>
      <c r="DQ257" s="6"/>
      <c r="DR257" s="6"/>
      <c r="DS257" s="6"/>
      <c r="DT257" s="6"/>
      <c r="DU257" s="6"/>
      <c r="DV257" s="6"/>
      <c r="DW257" s="6"/>
      <c r="DX257" s="6"/>
      <c r="DY257" s="6"/>
      <c r="DZ257" s="6"/>
      <c r="EA257" s="6"/>
      <c r="EB257" s="6"/>
      <c r="EC257" s="6"/>
      <c r="ED257" s="6"/>
      <c r="EE257" s="6"/>
      <c r="EF257" s="6"/>
      <c r="EG257" s="6"/>
      <c r="EH257" s="6"/>
      <c r="EI257" s="6"/>
      <c r="EJ257" s="6"/>
      <c r="EK257" s="6"/>
      <c r="EL257" s="6"/>
      <c r="EM257" s="6"/>
      <c r="EN257" s="6"/>
      <c r="EO257" s="6"/>
      <c r="EP257" s="6"/>
      <c r="EQ257" s="6"/>
      <c r="ER257" s="6"/>
      <c r="ES257" s="6"/>
      <c r="ET257" s="6"/>
      <c r="EU257" s="6"/>
      <c r="EV257" s="6"/>
      <c r="EW257" s="6"/>
      <c r="EX257" s="6"/>
      <c r="EY257" s="6"/>
      <c r="EZ257" s="6"/>
      <c r="FA257" s="6"/>
      <c r="FB257" s="6"/>
      <c r="FC257" s="6"/>
      <c r="FD257" s="6"/>
      <c r="FE257" s="6"/>
      <c r="FF257" s="6"/>
      <c r="FG257" s="6"/>
      <c r="FH257" s="6"/>
      <c r="FI257" s="6"/>
      <c r="FJ257" s="6"/>
    </row>
    <row r="258" spans="1:166"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row>
    <row r="259" spans="1:166"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6"/>
      <c r="DU259" s="6"/>
      <c r="DV259" s="6"/>
      <c r="DW259" s="6"/>
      <c r="DX259" s="6"/>
      <c r="DY259" s="6"/>
      <c r="DZ259" s="6"/>
      <c r="EA259" s="6"/>
      <c r="EB259" s="6"/>
      <c r="EC259" s="6"/>
      <c r="ED259" s="6"/>
      <c r="EE259" s="6"/>
      <c r="EF259" s="6"/>
      <c r="EG259" s="6"/>
      <c r="EH259" s="6"/>
      <c r="EI259" s="6"/>
      <c r="EJ259" s="6"/>
      <c r="EK259" s="6"/>
      <c r="EL259" s="6"/>
      <c r="EM259" s="6"/>
      <c r="EN259" s="6"/>
      <c r="EO259" s="6"/>
      <c r="EP259" s="6"/>
      <c r="EQ259" s="6"/>
      <c r="ER259" s="6"/>
      <c r="ES259" s="6"/>
      <c r="ET259" s="6"/>
      <c r="EU259" s="6"/>
      <c r="EV259" s="6"/>
      <c r="EW259" s="6"/>
      <c r="EX259" s="6"/>
      <c r="EY259" s="6"/>
      <c r="EZ259" s="6"/>
      <c r="FA259" s="6"/>
      <c r="FB259" s="6"/>
      <c r="FC259" s="6"/>
      <c r="FD259" s="6"/>
      <c r="FE259" s="6"/>
      <c r="FF259" s="6"/>
      <c r="FG259" s="6"/>
      <c r="FH259" s="6"/>
      <c r="FI259" s="6"/>
      <c r="FJ259" s="6"/>
    </row>
    <row r="260" spans="1:166"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6"/>
      <c r="DX260" s="6"/>
      <c r="DY260" s="6"/>
      <c r="DZ260" s="6"/>
      <c r="EA260" s="6"/>
      <c r="EB260" s="6"/>
      <c r="EC260" s="6"/>
      <c r="ED260" s="6"/>
      <c r="EE260" s="6"/>
      <c r="EF260" s="6"/>
      <c r="EG260" s="6"/>
      <c r="EH260" s="6"/>
      <c r="EI260" s="6"/>
      <c r="EJ260" s="6"/>
      <c r="EK260" s="6"/>
      <c r="EL260" s="6"/>
      <c r="EM260" s="6"/>
      <c r="EN260" s="6"/>
      <c r="EO260" s="6"/>
      <c r="EP260" s="6"/>
      <c r="EQ260" s="6"/>
      <c r="ER260" s="6"/>
      <c r="ES260" s="6"/>
      <c r="ET260" s="6"/>
      <c r="EU260" s="6"/>
      <c r="EV260" s="6"/>
      <c r="EW260" s="6"/>
      <c r="EX260" s="6"/>
      <c r="EY260" s="6"/>
      <c r="EZ260" s="6"/>
      <c r="FA260" s="6"/>
      <c r="FB260" s="6"/>
      <c r="FC260" s="6"/>
      <c r="FD260" s="6"/>
      <c r="FE260" s="6"/>
      <c r="FF260" s="6"/>
      <c r="FG260" s="6"/>
      <c r="FH260" s="6"/>
      <c r="FI260" s="6"/>
      <c r="FJ260" s="6"/>
    </row>
    <row r="261" spans="1:166"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6"/>
      <c r="DU261" s="6"/>
      <c r="DV261" s="6"/>
      <c r="DW261" s="6"/>
      <c r="DX261" s="6"/>
      <c r="DY261" s="6"/>
      <c r="DZ261" s="6"/>
      <c r="EA261" s="6"/>
      <c r="EB261" s="6"/>
      <c r="EC261" s="6"/>
      <c r="ED261" s="6"/>
      <c r="EE261" s="6"/>
      <c r="EF261" s="6"/>
      <c r="EG261" s="6"/>
      <c r="EH261" s="6"/>
      <c r="EI261" s="6"/>
      <c r="EJ261" s="6"/>
      <c r="EK261" s="6"/>
      <c r="EL261" s="6"/>
      <c r="EM261" s="6"/>
      <c r="EN261" s="6"/>
      <c r="EO261" s="6"/>
      <c r="EP261" s="6"/>
      <c r="EQ261" s="6"/>
      <c r="ER261" s="6"/>
      <c r="ES261" s="6"/>
      <c r="ET261" s="6"/>
      <c r="EU261" s="6"/>
      <c r="EV261" s="6"/>
      <c r="EW261" s="6"/>
      <c r="EX261" s="6"/>
      <c r="EY261" s="6"/>
      <c r="EZ261" s="6"/>
      <c r="FA261" s="6"/>
      <c r="FB261" s="6"/>
      <c r="FC261" s="6"/>
      <c r="FD261" s="6"/>
      <c r="FE261" s="6"/>
      <c r="FF261" s="6"/>
      <c r="FG261" s="6"/>
      <c r="FH261" s="6"/>
      <c r="FI261" s="6"/>
      <c r="FJ261" s="6"/>
    </row>
    <row r="262" spans="1:166"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6"/>
      <c r="DU262" s="6"/>
      <c r="DV262" s="6"/>
      <c r="DW262" s="6"/>
      <c r="DX262" s="6"/>
      <c r="DY262" s="6"/>
      <c r="DZ262" s="6"/>
      <c r="EA262" s="6"/>
      <c r="EB262" s="6"/>
      <c r="EC262" s="6"/>
      <c r="ED262" s="6"/>
      <c r="EE262" s="6"/>
      <c r="EF262" s="6"/>
      <c r="EG262" s="6"/>
      <c r="EH262" s="6"/>
      <c r="EI262" s="6"/>
      <c r="EJ262" s="6"/>
      <c r="EK262" s="6"/>
      <c r="EL262" s="6"/>
      <c r="EM262" s="6"/>
      <c r="EN262" s="6"/>
      <c r="EO262" s="6"/>
      <c r="EP262" s="6"/>
      <c r="EQ262" s="6"/>
      <c r="ER262" s="6"/>
      <c r="ES262" s="6"/>
      <c r="ET262" s="6"/>
      <c r="EU262" s="6"/>
      <c r="EV262" s="6"/>
      <c r="EW262" s="6"/>
      <c r="EX262" s="6"/>
      <c r="EY262" s="6"/>
      <c r="EZ262" s="6"/>
      <c r="FA262" s="6"/>
      <c r="FB262" s="6"/>
      <c r="FC262" s="6"/>
      <c r="FD262" s="6"/>
      <c r="FE262" s="6"/>
      <c r="FF262" s="6"/>
      <c r="FG262" s="6"/>
      <c r="FH262" s="6"/>
      <c r="FI262" s="6"/>
      <c r="FJ262" s="6"/>
    </row>
    <row r="263" spans="1:166"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6"/>
      <c r="DO263" s="6"/>
      <c r="DP263" s="6"/>
      <c r="DQ263" s="6"/>
      <c r="DR263" s="6"/>
      <c r="DS263" s="6"/>
      <c r="DT263" s="6"/>
      <c r="DU263" s="6"/>
      <c r="DV263" s="6"/>
      <c r="DW263" s="6"/>
      <c r="DX263" s="6"/>
      <c r="DY263" s="6"/>
      <c r="DZ263" s="6"/>
      <c r="EA263" s="6"/>
      <c r="EB263" s="6"/>
      <c r="EC263" s="6"/>
      <c r="ED263" s="6"/>
      <c r="EE263" s="6"/>
      <c r="EF263" s="6"/>
      <c r="EG263" s="6"/>
      <c r="EH263" s="6"/>
      <c r="EI263" s="6"/>
      <c r="EJ263" s="6"/>
      <c r="EK263" s="6"/>
      <c r="EL263" s="6"/>
      <c r="EM263" s="6"/>
      <c r="EN263" s="6"/>
      <c r="EO263" s="6"/>
      <c r="EP263" s="6"/>
      <c r="EQ263" s="6"/>
      <c r="ER263" s="6"/>
      <c r="ES263" s="6"/>
      <c r="ET263" s="6"/>
      <c r="EU263" s="6"/>
      <c r="EV263" s="6"/>
      <c r="EW263" s="6"/>
      <c r="EX263" s="6"/>
      <c r="EY263" s="6"/>
      <c r="EZ263" s="6"/>
      <c r="FA263" s="6"/>
      <c r="FB263" s="6"/>
      <c r="FC263" s="6"/>
      <c r="FD263" s="6"/>
      <c r="FE263" s="6"/>
      <c r="FF263" s="6"/>
      <c r="FG263" s="6"/>
      <c r="FH263" s="6"/>
      <c r="FI263" s="6"/>
      <c r="FJ263" s="6"/>
    </row>
    <row r="264" spans="1:166"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6"/>
      <c r="DU264" s="6"/>
      <c r="DV264" s="6"/>
      <c r="DW264" s="6"/>
      <c r="DX264" s="6"/>
      <c r="DY264" s="6"/>
      <c r="DZ264" s="6"/>
      <c r="EA264" s="6"/>
      <c r="EB264" s="6"/>
      <c r="EC264" s="6"/>
      <c r="ED264" s="6"/>
      <c r="EE264" s="6"/>
      <c r="EF264" s="6"/>
      <c r="EG264" s="6"/>
      <c r="EH264" s="6"/>
      <c r="EI264" s="6"/>
      <c r="EJ264" s="6"/>
      <c r="EK264" s="6"/>
      <c r="EL264" s="6"/>
      <c r="EM264" s="6"/>
      <c r="EN264" s="6"/>
      <c r="EO264" s="6"/>
      <c r="EP264" s="6"/>
      <c r="EQ264" s="6"/>
      <c r="ER264" s="6"/>
      <c r="ES264" s="6"/>
      <c r="ET264" s="6"/>
      <c r="EU264" s="6"/>
      <c r="EV264" s="6"/>
      <c r="EW264" s="6"/>
      <c r="EX264" s="6"/>
      <c r="EY264" s="6"/>
      <c r="EZ264" s="6"/>
      <c r="FA264" s="6"/>
      <c r="FB264" s="6"/>
      <c r="FC264" s="6"/>
      <c r="FD264" s="6"/>
      <c r="FE264" s="6"/>
      <c r="FF264" s="6"/>
      <c r="FG264" s="6"/>
      <c r="FH264" s="6"/>
      <c r="FI264" s="6"/>
      <c r="FJ264" s="6"/>
    </row>
    <row r="265" spans="1:166"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c r="DJ265" s="6"/>
      <c r="DK265" s="6"/>
      <c r="DL265" s="6"/>
      <c r="DM265" s="6"/>
      <c r="DN265" s="6"/>
      <c r="DO265" s="6"/>
      <c r="DP265" s="6"/>
      <c r="DQ265" s="6"/>
      <c r="DR265" s="6"/>
      <c r="DS265" s="6"/>
      <c r="DT265" s="6"/>
      <c r="DU265" s="6"/>
      <c r="DV265" s="6"/>
      <c r="DW265" s="6"/>
      <c r="DX265" s="6"/>
      <c r="DY265" s="6"/>
      <c r="DZ265" s="6"/>
      <c r="EA265" s="6"/>
      <c r="EB265" s="6"/>
      <c r="EC265" s="6"/>
      <c r="ED265" s="6"/>
      <c r="EE265" s="6"/>
      <c r="EF265" s="6"/>
      <c r="EG265" s="6"/>
      <c r="EH265" s="6"/>
      <c r="EI265" s="6"/>
      <c r="EJ265" s="6"/>
      <c r="EK265" s="6"/>
      <c r="EL265" s="6"/>
      <c r="EM265" s="6"/>
      <c r="EN265" s="6"/>
      <c r="EO265" s="6"/>
      <c r="EP265" s="6"/>
      <c r="EQ265" s="6"/>
      <c r="ER265" s="6"/>
      <c r="ES265" s="6"/>
      <c r="ET265" s="6"/>
      <c r="EU265" s="6"/>
      <c r="EV265" s="6"/>
      <c r="EW265" s="6"/>
      <c r="EX265" s="6"/>
      <c r="EY265" s="6"/>
      <c r="EZ265" s="6"/>
      <c r="FA265" s="6"/>
      <c r="FB265" s="6"/>
      <c r="FC265" s="6"/>
      <c r="FD265" s="6"/>
      <c r="FE265" s="6"/>
      <c r="FF265" s="6"/>
      <c r="FG265" s="6"/>
      <c r="FH265" s="6"/>
      <c r="FI265" s="6"/>
      <c r="FJ265" s="6"/>
    </row>
    <row r="266" spans="1:166"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6"/>
      <c r="EZ266" s="6"/>
      <c r="FA266" s="6"/>
      <c r="FB266" s="6"/>
      <c r="FC266" s="6"/>
      <c r="FD266" s="6"/>
      <c r="FE266" s="6"/>
      <c r="FF266" s="6"/>
      <c r="FG266" s="6"/>
      <c r="FH266" s="6"/>
      <c r="FI266" s="6"/>
      <c r="FJ266" s="6"/>
    </row>
    <row r="267" spans="1:166"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c r="DJ267" s="6"/>
      <c r="DK267" s="6"/>
      <c r="DL267" s="6"/>
      <c r="DM267" s="6"/>
      <c r="DN267" s="6"/>
      <c r="DO267" s="6"/>
      <c r="DP267" s="6"/>
      <c r="DQ267" s="6"/>
      <c r="DR267" s="6"/>
      <c r="DS267" s="6"/>
      <c r="DT267" s="6"/>
      <c r="DU267" s="6"/>
      <c r="DV267" s="6"/>
      <c r="DW267" s="6"/>
      <c r="DX267" s="6"/>
      <c r="DY267" s="6"/>
      <c r="DZ267" s="6"/>
      <c r="EA267" s="6"/>
      <c r="EB267" s="6"/>
      <c r="EC267" s="6"/>
      <c r="ED267" s="6"/>
      <c r="EE267" s="6"/>
      <c r="EF267" s="6"/>
      <c r="EG267" s="6"/>
      <c r="EH267" s="6"/>
      <c r="EI267" s="6"/>
      <c r="EJ267" s="6"/>
      <c r="EK267" s="6"/>
      <c r="EL267" s="6"/>
      <c r="EM267" s="6"/>
      <c r="EN267" s="6"/>
      <c r="EO267" s="6"/>
      <c r="EP267" s="6"/>
      <c r="EQ267" s="6"/>
      <c r="ER267" s="6"/>
      <c r="ES267" s="6"/>
      <c r="ET267" s="6"/>
      <c r="EU267" s="6"/>
      <c r="EV267" s="6"/>
      <c r="EW267" s="6"/>
      <c r="EX267" s="6"/>
      <c r="EY267" s="6"/>
      <c r="EZ267" s="6"/>
      <c r="FA267" s="6"/>
      <c r="FB267" s="6"/>
      <c r="FC267" s="6"/>
      <c r="FD267" s="6"/>
      <c r="FE267" s="6"/>
      <c r="FF267" s="6"/>
      <c r="FG267" s="6"/>
      <c r="FH267" s="6"/>
      <c r="FI267" s="6"/>
      <c r="FJ267" s="6"/>
    </row>
    <row r="268" spans="1:166"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6"/>
      <c r="DO268" s="6"/>
      <c r="DP268" s="6"/>
      <c r="DQ268" s="6"/>
      <c r="DR268" s="6"/>
      <c r="DS268" s="6"/>
      <c r="DT268" s="6"/>
      <c r="DU268" s="6"/>
      <c r="DV268" s="6"/>
      <c r="DW268" s="6"/>
      <c r="DX268" s="6"/>
      <c r="DY268" s="6"/>
      <c r="DZ268" s="6"/>
      <c r="EA268" s="6"/>
      <c r="EB268" s="6"/>
      <c r="EC268" s="6"/>
      <c r="ED268" s="6"/>
      <c r="EE268" s="6"/>
      <c r="EF268" s="6"/>
      <c r="EG268" s="6"/>
      <c r="EH268" s="6"/>
      <c r="EI268" s="6"/>
      <c r="EJ268" s="6"/>
      <c r="EK268" s="6"/>
      <c r="EL268" s="6"/>
      <c r="EM268" s="6"/>
      <c r="EN268" s="6"/>
      <c r="EO268" s="6"/>
      <c r="EP268" s="6"/>
      <c r="EQ268" s="6"/>
      <c r="ER268" s="6"/>
      <c r="ES268" s="6"/>
      <c r="ET268" s="6"/>
      <c r="EU268" s="6"/>
      <c r="EV268" s="6"/>
      <c r="EW268" s="6"/>
      <c r="EX268" s="6"/>
      <c r="EY268" s="6"/>
      <c r="EZ268" s="6"/>
      <c r="FA268" s="6"/>
      <c r="FB268" s="6"/>
      <c r="FC268" s="6"/>
      <c r="FD268" s="6"/>
      <c r="FE268" s="6"/>
      <c r="FF268" s="6"/>
      <c r="FG268" s="6"/>
      <c r="FH268" s="6"/>
      <c r="FI268" s="6"/>
      <c r="FJ268" s="6"/>
    </row>
    <row r="269" spans="1:166"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c r="DJ269" s="6"/>
      <c r="DK269" s="6"/>
      <c r="DL269" s="6"/>
      <c r="DM269" s="6"/>
      <c r="DN269" s="6"/>
      <c r="DO269" s="6"/>
      <c r="DP269" s="6"/>
      <c r="DQ269" s="6"/>
      <c r="DR269" s="6"/>
      <c r="DS269" s="6"/>
      <c r="DT269" s="6"/>
      <c r="DU269" s="6"/>
      <c r="DV269" s="6"/>
      <c r="DW269" s="6"/>
      <c r="DX269" s="6"/>
      <c r="DY269" s="6"/>
      <c r="DZ269" s="6"/>
      <c r="EA269" s="6"/>
      <c r="EB269" s="6"/>
      <c r="EC269" s="6"/>
      <c r="ED269" s="6"/>
      <c r="EE269" s="6"/>
      <c r="EF269" s="6"/>
      <c r="EG269" s="6"/>
      <c r="EH269" s="6"/>
      <c r="EI269" s="6"/>
      <c r="EJ269" s="6"/>
      <c r="EK269" s="6"/>
      <c r="EL269" s="6"/>
      <c r="EM269" s="6"/>
      <c r="EN269" s="6"/>
      <c r="EO269" s="6"/>
      <c r="EP269" s="6"/>
      <c r="EQ269" s="6"/>
      <c r="ER269" s="6"/>
      <c r="ES269" s="6"/>
      <c r="ET269" s="6"/>
      <c r="EU269" s="6"/>
      <c r="EV269" s="6"/>
      <c r="EW269" s="6"/>
      <c r="EX269" s="6"/>
      <c r="EY269" s="6"/>
      <c r="EZ269" s="6"/>
      <c r="FA269" s="6"/>
      <c r="FB269" s="6"/>
      <c r="FC269" s="6"/>
      <c r="FD269" s="6"/>
      <c r="FE269" s="6"/>
      <c r="FF269" s="6"/>
      <c r="FG269" s="6"/>
      <c r="FH269" s="6"/>
      <c r="FI269" s="6"/>
      <c r="FJ269" s="6"/>
    </row>
    <row r="270" spans="1:166"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6"/>
      <c r="DO270" s="6"/>
      <c r="DP270" s="6"/>
      <c r="DQ270" s="6"/>
      <c r="DR270" s="6"/>
      <c r="DS270" s="6"/>
      <c r="DT270" s="6"/>
      <c r="DU270" s="6"/>
      <c r="DV270" s="6"/>
      <c r="DW270" s="6"/>
      <c r="DX270" s="6"/>
      <c r="DY270" s="6"/>
      <c r="DZ270" s="6"/>
      <c r="EA270" s="6"/>
      <c r="EB270" s="6"/>
      <c r="EC270" s="6"/>
      <c r="ED270" s="6"/>
      <c r="EE270" s="6"/>
      <c r="EF270" s="6"/>
      <c r="EG270" s="6"/>
      <c r="EH270" s="6"/>
      <c r="EI270" s="6"/>
      <c r="EJ270" s="6"/>
      <c r="EK270" s="6"/>
      <c r="EL270" s="6"/>
      <c r="EM270" s="6"/>
      <c r="EN270" s="6"/>
      <c r="EO270" s="6"/>
      <c r="EP270" s="6"/>
      <c r="EQ270" s="6"/>
      <c r="ER270" s="6"/>
      <c r="ES270" s="6"/>
      <c r="ET270" s="6"/>
      <c r="EU270" s="6"/>
      <c r="EV270" s="6"/>
      <c r="EW270" s="6"/>
      <c r="EX270" s="6"/>
      <c r="EY270" s="6"/>
      <c r="EZ270" s="6"/>
      <c r="FA270" s="6"/>
      <c r="FB270" s="6"/>
      <c r="FC270" s="6"/>
      <c r="FD270" s="6"/>
      <c r="FE270" s="6"/>
      <c r="FF270" s="6"/>
      <c r="FG270" s="6"/>
      <c r="FH270" s="6"/>
      <c r="FI270" s="6"/>
      <c r="FJ270" s="6"/>
    </row>
    <row r="271" spans="1:166"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c r="DJ271" s="6"/>
      <c r="DK271" s="6"/>
      <c r="DL271" s="6"/>
      <c r="DM271" s="6"/>
      <c r="DN271" s="6"/>
      <c r="DO271" s="6"/>
      <c r="DP271" s="6"/>
      <c r="DQ271" s="6"/>
      <c r="DR271" s="6"/>
      <c r="DS271" s="6"/>
      <c r="DT271" s="6"/>
      <c r="DU271" s="6"/>
      <c r="DV271" s="6"/>
      <c r="DW271" s="6"/>
      <c r="DX271" s="6"/>
      <c r="DY271" s="6"/>
      <c r="DZ271" s="6"/>
      <c r="EA271" s="6"/>
      <c r="EB271" s="6"/>
      <c r="EC271" s="6"/>
      <c r="ED271" s="6"/>
      <c r="EE271" s="6"/>
      <c r="EF271" s="6"/>
      <c r="EG271" s="6"/>
      <c r="EH271" s="6"/>
      <c r="EI271" s="6"/>
      <c r="EJ271" s="6"/>
      <c r="EK271" s="6"/>
      <c r="EL271" s="6"/>
      <c r="EM271" s="6"/>
      <c r="EN271" s="6"/>
      <c r="EO271" s="6"/>
      <c r="EP271" s="6"/>
      <c r="EQ271" s="6"/>
      <c r="ER271" s="6"/>
      <c r="ES271" s="6"/>
      <c r="ET271" s="6"/>
      <c r="EU271" s="6"/>
      <c r="EV271" s="6"/>
      <c r="EW271" s="6"/>
      <c r="EX271" s="6"/>
      <c r="EY271" s="6"/>
      <c r="EZ271" s="6"/>
      <c r="FA271" s="6"/>
      <c r="FB271" s="6"/>
      <c r="FC271" s="6"/>
      <c r="FD271" s="6"/>
      <c r="FE271" s="6"/>
      <c r="FF271" s="6"/>
      <c r="FG271" s="6"/>
      <c r="FH271" s="6"/>
      <c r="FI271" s="6"/>
      <c r="FJ271" s="6"/>
    </row>
    <row r="272" spans="1:166"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6"/>
      <c r="DO272" s="6"/>
      <c r="DP272" s="6"/>
      <c r="DQ272" s="6"/>
      <c r="DR272" s="6"/>
      <c r="DS272" s="6"/>
      <c r="DT272" s="6"/>
      <c r="DU272" s="6"/>
      <c r="DV272" s="6"/>
      <c r="DW272" s="6"/>
      <c r="DX272" s="6"/>
      <c r="DY272" s="6"/>
      <c r="DZ272" s="6"/>
      <c r="EA272" s="6"/>
      <c r="EB272" s="6"/>
      <c r="EC272" s="6"/>
      <c r="ED272" s="6"/>
      <c r="EE272" s="6"/>
      <c r="EF272" s="6"/>
      <c r="EG272" s="6"/>
      <c r="EH272" s="6"/>
      <c r="EI272" s="6"/>
      <c r="EJ272" s="6"/>
      <c r="EK272" s="6"/>
      <c r="EL272" s="6"/>
      <c r="EM272" s="6"/>
      <c r="EN272" s="6"/>
      <c r="EO272" s="6"/>
      <c r="EP272" s="6"/>
      <c r="EQ272" s="6"/>
      <c r="ER272" s="6"/>
      <c r="ES272" s="6"/>
      <c r="ET272" s="6"/>
      <c r="EU272" s="6"/>
      <c r="EV272" s="6"/>
      <c r="EW272" s="6"/>
      <c r="EX272" s="6"/>
      <c r="EY272" s="6"/>
      <c r="EZ272" s="6"/>
      <c r="FA272" s="6"/>
      <c r="FB272" s="6"/>
      <c r="FC272" s="6"/>
      <c r="FD272" s="6"/>
      <c r="FE272" s="6"/>
      <c r="FF272" s="6"/>
      <c r="FG272" s="6"/>
      <c r="FH272" s="6"/>
      <c r="FI272" s="6"/>
      <c r="FJ272" s="6"/>
    </row>
    <row r="273" spans="1:166"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c r="CX273" s="6"/>
      <c r="CY273" s="6"/>
      <c r="CZ273" s="6"/>
      <c r="DA273" s="6"/>
      <c r="DB273" s="6"/>
      <c r="DC273" s="6"/>
      <c r="DD273" s="6"/>
      <c r="DE273" s="6"/>
      <c r="DF273" s="6"/>
      <c r="DG273" s="6"/>
      <c r="DH273" s="6"/>
      <c r="DI273" s="6"/>
      <c r="DJ273" s="6"/>
      <c r="DK273" s="6"/>
      <c r="DL273" s="6"/>
      <c r="DM273" s="6"/>
      <c r="DN273" s="6"/>
      <c r="DO273" s="6"/>
      <c r="DP273" s="6"/>
      <c r="DQ273" s="6"/>
      <c r="DR273" s="6"/>
      <c r="DS273" s="6"/>
      <c r="DT273" s="6"/>
      <c r="DU273" s="6"/>
      <c r="DV273" s="6"/>
      <c r="DW273" s="6"/>
      <c r="DX273" s="6"/>
      <c r="DY273" s="6"/>
      <c r="DZ273" s="6"/>
      <c r="EA273" s="6"/>
      <c r="EB273" s="6"/>
      <c r="EC273" s="6"/>
      <c r="ED273" s="6"/>
      <c r="EE273" s="6"/>
      <c r="EF273" s="6"/>
      <c r="EG273" s="6"/>
      <c r="EH273" s="6"/>
      <c r="EI273" s="6"/>
      <c r="EJ273" s="6"/>
      <c r="EK273" s="6"/>
      <c r="EL273" s="6"/>
      <c r="EM273" s="6"/>
      <c r="EN273" s="6"/>
      <c r="EO273" s="6"/>
      <c r="EP273" s="6"/>
      <c r="EQ273" s="6"/>
      <c r="ER273" s="6"/>
      <c r="ES273" s="6"/>
      <c r="ET273" s="6"/>
      <c r="EU273" s="6"/>
      <c r="EV273" s="6"/>
      <c r="EW273" s="6"/>
      <c r="EX273" s="6"/>
      <c r="EY273" s="6"/>
      <c r="EZ273" s="6"/>
      <c r="FA273" s="6"/>
      <c r="FB273" s="6"/>
      <c r="FC273" s="6"/>
      <c r="FD273" s="6"/>
      <c r="FE273" s="6"/>
      <c r="FF273" s="6"/>
      <c r="FG273" s="6"/>
      <c r="FH273" s="6"/>
      <c r="FI273" s="6"/>
      <c r="FJ273" s="6"/>
    </row>
    <row r="274" spans="1:166"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6"/>
      <c r="DU274" s="6"/>
      <c r="DV274" s="6"/>
      <c r="DW274" s="6"/>
      <c r="DX274" s="6"/>
      <c r="DY274" s="6"/>
      <c r="DZ274" s="6"/>
      <c r="EA274" s="6"/>
      <c r="EB274" s="6"/>
      <c r="EC274" s="6"/>
      <c r="ED274" s="6"/>
      <c r="EE274" s="6"/>
      <c r="EF274" s="6"/>
      <c r="EG274" s="6"/>
      <c r="EH274" s="6"/>
      <c r="EI274" s="6"/>
      <c r="EJ274" s="6"/>
      <c r="EK274" s="6"/>
      <c r="EL274" s="6"/>
      <c r="EM274" s="6"/>
      <c r="EN274" s="6"/>
      <c r="EO274" s="6"/>
      <c r="EP274" s="6"/>
      <c r="EQ274" s="6"/>
      <c r="ER274" s="6"/>
      <c r="ES274" s="6"/>
      <c r="ET274" s="6"/>
      <c r="EU274" s="6"/>
      <c r="EV274" s="6"/>
      <c r="EW274" s="6"/>
      <c r="EX274" s="6"/>
      <c r="EY274" s="6"/>
      <c r="EZ274" s="6"/>
      <c r="FA274" s="6"/>
      <c r="FB274" s="6"/>
      <c r="FC274" s="6"/>
      <c r="FD274" s="6"/>
      <c r="FE274" s="6"/>
      <c r="FF274" s="6"/>
      <c r="FG274" s="6"/>
      <c r="FH274" s="6"/>
      <c r="FI274" s="6"/>
      <c r="FJ274" s="6"/>
    </row>
    <row r="275" spans="1:166"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6"/>
      <c r="DO275" s="6"/>
      <c r="DP275" s="6"/>
      <c r="DQ275" s="6"/>
      <c r="DR275" s="6"/>
      <c r="DS275" s="6"/>
      <c r="DT275" s="6"/>
      <c r="DU275" s="6"/>
      <c r="DV275" s="6"/>
      <c r="DW275" s="6"/>
      <c r="DX275" s="6"/>
      <c r="DY275" s="6"/>
      <c r="DZ275" s="6"/>
      <c r="EA275" s="6"/>
      <c r="EB275" s="6"/>
      <c r="EC275" s="6"/>
      <c r="ED275" s="6"/>
      <c r="EE275" s="6"/>
      <c r="EF275" s="6"/>
      <c r="EG275" s="6"/>
      <c r="EH275" s="6"/>
      <c r="EI275" s="6"/>
      <c r="EJ275" s="6"/>
      <c r="EK275" s="6"/>
      <c r="EL275" s="6"/>
      <c r="EM275" s="6"/>
      <c r="EN275" s="6"/>
      <c r="EO275" s="6"/>
      <c r="EP275" s="6"/>
      <c r="EQ275" s="6"/>
      <c r="ER275" s="6"/>
      <c r="ES275" s="6"/>
      <c r="ET275" s="6"/>
      <c r="EU275" s="6"/>
      <c r="EV275" s="6"/>
      <c r="EW275" s="6"/>
      <c r="EX275" s="6"/>
      <c r="EY275" s="6"/>
      <c r="EZ275" s="6"/>
      <c r="FA275" s="6"/>
      <c r="FB275" s="6"/>
      <c r="FC275" s="6"/>
      <c r="FD275" s="6"/>
      <c r="FE275" s="6"/>
      <c r="FF275" s="6"/>
      <c r="FG275" s="6"/>
      <c r="FH275" s="6"/>
      <c r="FI275" s="6"/>
      <c r="FJ275" s="6"/>
    </row>
    <row r="276" spans="1:166"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6"/>
      <c r="DW276" s="6"/>
      <c r="DX276" s="6"/>
      <c r="DY276" s="6"/>
      <c r="DZ276" s="6"/>
      <c r="EA276" s="6"/>
      <c r="EB276" s="6"/>
      <c r="EC276" s="6"/>
      <c r="ED276" s="6"/>
      <c r="EE276" s="6"/>
      <c r="EF276" s="6"/>
      <c r="EG276" s="6"/>
      <c r="EH276" s="6"/>
      <c r="EI276" s="6"/>
      <c r="EJ276" s="6"/>
      <c r="EK276" s="6"/>
      <c r="EL276" s="6"/>
      <c r="EM276" s="6"/>
      <c r="EN276" s="6"/>
      <c r="EO276" s="6"/>
      <c r="EP276" s="6"/>
      <c r="EQ276" s="6"/>
      <c r="ER276" s="6"/>
      <c r="ES276" s="6"/>
      <c r="ET276" s="6"/>
      <c r="EU276" s="6"/>
      <c r="EV276" s="6"/>
      <c r="EW276" s="6"/>
      <c r="EX276" s="6"/>
      <c r="EY276" s="6"/>
      <c r="EZ276" s="6"/>
      <c r="FA276" s="6"/>
      <c r="FB276" s="6"/>
      <c r="FC276" s="6"/>
      <c r="FD276" s="6"/>
      <c r="FE276" s="6"/>
      <c r="FF276" s="6"/>
      <c r="FG276" s="6"/>
      <c r="FH276" s="6"/>
      <c r="FI276" s="6"/>
      <c r="FJ276" s="6"/>
    </row>
    <row r="277" spans="1:166"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6"/>
      <c r="DU277" s="6"/>
      <c r="DV277" s="6"/>
      <c r="DW277" s="6"/>
      <c r="DX277" s="6"/>
      <c r="DY277" s="6"/>
      <c r="DZ277" s="6"/>
      <c r="EA277" s="6"/>
      <c r="EB277" s="6"/>
      <c r="EC277" s="6"/>
      <c r="ED277" s="6"/>
      <c r="EE277" s="6"/>
      <c r="EF277" s="6"/>
      <c r="EG277" s="6"/>
      <c r="EH277" s="6"/>
      <c r="EI277" s="6"/>
      <c r="EJ277" s="6"/>
      <c r="EK277" s="6"/>
      <c r="EL277" s="6"/>
      <c r="EM277" s="6"/>
      <c r="EN277" s="6"/>
      <c r="EO277" s="6"/>
      <c r="EP277" s="6"/>
      <c r="EQ277" s="6"/>
      <c r="ER277" s="6"/>
      <c r="ES277" s="6"/>
      <c r="ET277" s="6"/>
      <c r="EU277" s="6"/>
      <c r="EV277" s="6"/>
      <c r="EW277" s="6"/>
      <c r="EX277" s="6"/>
      <c r="EY277" s="6"/>
      <c r="EZ277" s="6"/>
      <c r="FA277" s="6"/>
      <c r="FB277" s="6"/>
      <c r="FC277" s="6"/>
      <c r="FD277" s="6"/>
      <c r="FE277" s="6"/>
      <c r="FF277" s="6"/>
      <c r="FG277" s="6"/>
      <c r="FH277" s="6"/>
      <c r="FI277" s="6"/>
      <c r="FJ277" s="6"/>
    </row>
    <row r="278" spans="1:166"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6"/>
      <c r="ED278" s="6"/>
      <c r="EE278" s="6"/>
      <c r="EF278" s="6"/>
      <c r="EG278" s="6"/>
      <c r="EH278" s="6"/>
      <c r="EI278" s="6"/>
      <c r="EJ278" s="6"/>
      <c r="EK278" s="6"/>
      <c r="EL278" s="6"/>
      <c r="EM278" s="6"/>
      <c r="EN278" s="6"/>
      <c r="EO278" s="6"/>
      <c r="EP278" s="6"/>
      <c r="EQ278" s="6"/>
      <c r="ER278" s="6"/>
      <c r="ES278" s="6"/>
      <c r="ET278" s="6"/>
      <c r="EU278" s="6"/>
      <c r="EV278" s="6"/>
      <c r="EW278" s="6"/>
      <c r="EX278" s="6"/>
      <c r="EY278" s="6"/>
      <c r="EZ278" s="6"/>
      <c r="FA278" s="6"/>
      <c r="FB278" s="6"/>
      <c r="FC278" s="6"/>
      <c r="FD278" s="6"/>
      <c r="FE278" s="6"/>
      <c r="FF278" s="6"/>
      <c r="FG278" s="6"/>
      <c r="FH278" s="6"/>
      <c r="FI278" s="6"/>
      <c r="FJ278" s="6"/>
    </row>
    <row r="279" spans="1:166"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6"/>
      <c r="DU279" s="6"/>
      <c r="DV279" s="6"/>
      <c r="DW279" s="6"/>
      <c r="DX279" s="6"/>
      <c r="DY279" s="6"/>
      <c r="DZ279" s="6"/>
      <c r="EA279" s="6"/>
      <c r="EB279" s="6"/>
      <c r="EC279" s="6"/>
      <c r="ED279" s="6"/>
      <c r="EE279" s="6"/>
      <c r="EF279" s="6"/>
      <c r="EG279" s="6"/>
      <c r="EH279" s="6"/>
      <c r="EI279" s="6"/>
      <c r="EJ279" s="6"/>
      <c r="EK279" s="6"/>
      <c r="EL279" s="6"/>
      <c r="EM279" s="6"/>
      <c r="EN279" s="6"/>
      <c r="EO279" s="6"/>
      <c r="EP279" s="6"/>
      <c r="EQ279" s="6"/>
      <c r="ER279" s="6"/>
      <c r="ES279" s="6"/>
      <c r="ET279" s="6"/>
      <c r="EU279" s="6"/>
      <c r="EV279" s="6"/>
      <c r="EW279" s="6"/>
      <c r="EX279" s="6"/>
      <c r="EY279" s="6"/>
      <c r="EZ279" s="6"/>
      <c r="FA279" s="6"/>
      <c r="FB279" s="6"/>
      <c r="FC279" s="6"/>
      <c r="FD279" s="6"/>
      <c r="FE279" s="6"/>
      <c r="FF279" s="6"/>
      <c r="FG279" s="6"/>
      <c r="FH279" s="6"/>
      <c r="FI279" s="6"/>
      <c r="FJ279" s="6"/>
    </row>
    <row r="280" spans="1:166"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6"/>
      <c r="DW280" s="6"/>
      <c r="DX280" s="6"/>
      <c r="DY280" s="6"/>
      <c r="DZ280" s="6"/>
      <c r="EA280" s="6"/>
      <c r="EB280" s="6"/>
      <c r="EC280" s="6"/>
      <c r="ED280" s="6"/>
      <c r="EE280" s="6"/>
      <c r="EF280" s="6"/>
      <c r="EG280" s="6"/>
      <c r="EH280" s="6"/>
      <c r="EI280" s="6"/>
      <c r="EJ280" s="6"/>
      <c r="EK280" s="6"/>
      <c r="EL280" s="6"/>
      <c r="EM280" s="6"/>
      <c r="EN280" s="6"/>
      <c r="EO280" s="6"/>
      <c r="EP280" s="6"/>
      <c r="EQ280" s="6"/>
      <c r="ER280" s="6"/>
      <c r="ES280" s="6"/>
      <c r="ET280" s="6"/>
      <c r="EU280" s="6"/>
      <c r="EV280" s="6"/>
      <c r="EW280" s="6"/>
      <c r="EX280" s="6"/>
      <c r="EY280" s="6"/>
      <c r="EZ280" s="6"/>
      <c r="FA280" s="6"/>
      <c r="FB280" s="6"/>
      <c r="FC280" s="6"/>
      <c r="FD280" s="6"/>
      <c r="FE280" s="6"/>
      <c r="FF280" s="6"/>
      <c r="FG280" s="6"/>
      <c r="FH280" s="6"/>
      <c r="FI280" s="6"/>
      <c r="FJ280" s="6"/>
    </row>
    <row r="281" spans="1:166"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6"/>
      <c r="ED281" s="6"/>
      <c r="EE281" s="6"/>
      <c r="EF281" s="6"/>
      <c r="EG281" s="6"/>
      <c r="EH281" s="6"/>
      <c r="EI281" s="6"/>
      <c r="EJ281" s="6"/>
      <c r="EK281" s="6"/>
      <c r="EL281" s="6"/>
      <c r="EM281" s="6"/>
      <c r="EN281" s="6"/>
      <c r="EO281" s="6"/>
      <c r="EP281" s="6"/>
      <c r="EQ281" s="6"/>
      <c r="ER281" s="6"/>
      <c r="ES281" s="6"/>
      <c r="ET281" s="6"/>
      <c r="EU281" s="6"/>
      <c r="EV281" s="6"/>
      <c r="EW281" s="6"/>
      <c r="EX281" s="6"/>
      <c r="EY281" s="6"/>
      <c r="EZ281" s="6"/>
      <c r="FA281" s="6"/>
      <c r="FB281" s="6"/>
      <c r="FC281" s="6"/>
      <c r="FD281" s="6"/>
      <c r="FE281" s="6"/>
      <c r="FF281" s="6"/>
      <c r="FG281" s="6"/>
      <c r="FH281" s="6"/>
      <c r="FI281" s="6"/>
      <c r="FJ281" s="6"/>
    </row>
    <row r="282" spans="1:166"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c r="EE282" s="6"/>
      <c r="EF282" s="6"/>
      <c r="EG282" s="6"/>
      <c r="EH282" s="6"/>
      <c r="EI282" s="6"/>
      <c r="EJ282" s="6"/>
      <c r="EK282" s="6"/>
      <c r="EL282" s="6"/>
      <c r="EM282" s="6"/>
      <c r="EN282" s="6"/>
      <c r="EO282" s="6"/>
      <c r="EP282" s="6"/>
      <c r="EQ282" s="6"/>
      <c r="ER282" s="6"/>
      <c r="ES282" s="6"/>
      <c r="ET282" s="6"/>
      <c r="EU282" s="6"/>
      <c r="EV282" s="6"/>
      <c r="EW282" s="6"/>
      <c r="EX282" s="6"/>
      <c r="EY282" s="6"/>
      <c r="EZ282" s="6"/>
      <c r="FA282" s="6"/>
      <c r="FB282" s="6"/>
      <c r="FC282" s="6"/>
      <c r="FD282" s="6"/>
      <c r="FE282" s="6"/>
      <c r="FF282" s="6"/>
      <c r="FG282" s="6"/>
      <c r="FH282" s="6"/>
      <c r="FI282" s="6"/>
      <c r="FJ282" s="6"/>
    </row>
    <row r="283" spans="1:166"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6"/>
      <c r="ED283" s="6"/>
      <c r="EE283" s="6"/>
      <c r="EF283" s="6"/>
      <c r="EG283" s="6"/>
      <c r="EH283" s="6"/>
      <c r="EI283" s="6"/>
      <c r="EJ283" s="6"/>
      <c r="EK283" s="6"/>
      <c r="EL283" s="6"/>
      <c r="EM283" s="6"/>
      <c r="EN283" s="6"/>
      <c r="EO283" s="6"/>
      <c r="EP283" s="6"/>
      <c r="EQ283" s="6"/>
      <c r="ER283" s="6"/>
      <c r="ES283" s="6"/>
      <c r="ET283" s="6"/>
      <c r="EU283" s="6"/>
      <c r="EV283" s="6"/>
      <c r="EW283" s="6"/>
      <c r="EX283" s="6"/>
      <c r="EY283" s="6"/>
      <c r="EZ283" s="6"/>
      <c r="FA283" s="6"/>
      <c r="FB283" s="6"/>
      <c r="FC283" s="6"/>
      <c r="FD283" s="6"/>
      <c r="FE283" s="6"/>
      <c r="FF283" s="6"/>
      <c r="FG283" s="6"/>
      <c r="FH283" s="6"/>
      <c r="FI283" s="6"/>
      <c r="FJ283" s="6"/>
    </row>
    <row r="284" spans="1:166"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6"/>
      <c r="ED284" s="6"/>
      <c r="EE284" s="6"/>
      <c r="EF284" s="6"/>
      <c r="EG284" s="6"/>
      <c r="EH284" s="6"/>
      <c r="EI284" s="6"/>
      <c r="EJ284" s="6"/>
      <c r="EK284" s="6"/>
      <c r="EL284" s="6"/>
      <c r="EM284" s="6"/>
      <c r="EN284" s="6"/>
      <c r="EO284" s="6"/>
      <c r="EP284" s="6"/>
      <c r="EQ284" s="6"/>
      <c r="ER284" s="6"/>
      <c r="ES284" s="6"/>
      <c r="ET284" s="6"/>
      <c r="EU284" s="6"/>
      <c r="EV284" s="6"/>
      <c r="EW284" s="6"/>
      <c r="EX284" s="6"/>
      <c r="EY284" s="6"/>
      <c r="EZ284" s="6"/>
      <c r="FA284" s="6"/>
      <c r="FB284" s="6"/>
      <c r="FC284" s="6"/>
      <c r="FD284" s="6"/>
      <c r="FE284" s="6"/>
      <c r="FF284" s="6"/>
      <c r="FG284" s="6"/>
      <c r="FH284" s="6"/>
      <c r="FI284" s="6"/>
      <c r="FJ284" s="6"/>
    </row>
    <row r="285" spans="1:166"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6"/>
      <c r="ED285" s="6"/>
      <c r="EE285" s="6"/>
      <c r="EF285" s="6"/>
      <c r="EG285" s="6"/>
      <c r="EH285" s="6"/>
      <c r="EI285" s="6"/>
      <c r="EJ285" s="6"/>
      <c r="EK285" s="6"/>
      <c r="EL285" s="6"/>
      <c r="EM285" s="6"/>
      <c r="EN285" s="6"/>
      <c r="EO285" s="6"/>
      <c r="EP285" s="6"/>
      <c r="EQ285" s="6"/>
      <c r="ER285" s="6"/>
      <c r="ES285" s="6"/>
      <c r="ET285" s="6"/>
      <c r="EU285" s="6"/>
      <c r="EV285" s="6"/>
      <c r="EW285" s="6"/>
      <c r="EX285" s="6"/>
      <c r="EY285" s="6"/>
      <c r="EZ285" s="6"/>
      <c r="FA285" s="6"/>
      <c r="FB285" s="6"/>
      <c r="FC285" s="6"/>
      <c r="FD285" s="6"/>
      <c r="FE285" s="6"/>
      <c r="FF285" s="6"/>
      <c r="FG285" s="6"/>
      <c r="FH285" s="6"/>
      <c r="FI285" s="6"/>
      <c r="FJ285" s="6"/>
    </row>
    <row r="286" spans="1:166"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6"/>
      <c r="EH286" s="6"/>
      <c r="EI286" s="6"/>
      <c r="EJ286" s="6"/>
      <c r="EK286" s="6"/>
      <c r="EL286" s="6"/>
      <c r="EM286" s="6"/>
      <c r="EN286" s="6"/>
      <c r="EO286" s="6"/>
      <c r="EP286" s="6"/>
      <c r="EQ286" s="6"/>
      <c r="ER286" s="6"/>
      <c r="ES286" s="6"/>
      <c r="ET286" s="6"/>
      <c r="EU286" s="6"/>
      <c r="EV286" s="6"/>
      <c r="EW286" s="6"/>
      <c r="EX286" s="6"/>
      <c r="EY286" s="6"/>
      <c r="EZ286" s="6"/>
      <c r="FA286" s="6"/>
      <c r="FB286" s="6"/>
      <c r="FC286" s="6"/>
      <c r="FD286" s="6"/>
      <c r="FE286" s="6"/>
      <c r="FF286" s="6"/>
      <c r="FG286" s="6"/>
      <c r="FH286" s="6"/>
      <c r="FI286" s="6"/>
      <c r="FJ286" s="6"/>
    </row>
    <row r="287" spans="1:166"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6"/>
      <c r="DW287" s="6"/>
      <c r="DX287" s="6"/>
      <c r="DY287" s="6"/>
      <c r="DZ287" s="6"/>
      <c r="EA287" s="6"/>
      <c r="EB287" s="6"/>
      <c r="EC287" s="6"/>
      <c r="ED287" s="6"/>
      <c r="EE287" s="6"/>
      <c r="EF287" s="6"/>
      <c r="EG287" s="6"/>
      <c r="EH287" s="6"/>
      <c r="EI287" s="6"/>
      <c r="EJ287" s="6"/>
      <c r="EK287" s="6"/>
      <c r="EL287" s="6"/>
      <c r="EM287" s="6"/>
      <c r="EN287" s="6"/>
      <c r="EO287" s="6"/>
      <c r="EP287" s="6"/>
      <c r="EQ287" s="6"/>
      <c r="ER287" s="6"/>
      <c r="ES287" s="6"/>
      <c r="ET287" s="6"/>
      <c r="EU287" s="6"/>
      <c r="EV287" s="6"/>
      <c r="EW287" s="6"/>
      <c r="EX287" s="6"/>
      <c r="EY287" s="6"/>
      <c r="EZ287" s="6"/>
      <c r="FA287" s="6"/>
      <c r="FB287" s="6"/>
      <c r="FC287" s="6"/>
      <c r="FD287" s="6"/>
      <c r="FE287" s="6"/>
      <c r="FF287" s="6"/>
      <c r="FG287" s="6"/>
      <c r="FH287" s="6"/>
      <c r="FI287" s="6"/>
      <c r="FJ287" s="6"/>
    </row>
    <row r="288" spans="1:166"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6"/>
      <c r="ED288" s="6"/>
      <c r="EE288" s="6"/>
      <c r="EF288" s="6"/>
      <c r="EG288" s="6"/>
      <c r="EH288" s="6"/>
      <c r="EI288" s="6"/>
      <c r="EJ288" s="6"/>
      <c r="EK288" s="6"/>
      <c r="EL288" s="6"/>
      <c r="EM288" s="6"/>
      <c r="EN288" s="6"/>
      <c r="EO288" s="6"/>
      <c r="EP288" s="6"/>
      <c r="EQ288" s="6"/>
      <c r="ER288" s="6"/>
      <c r="ES288" s="6"/>
      <c r="ET288" s="6"/>
      <c r="EU288" s="6"/>
      <c r="EV288" s="6"/>
      <c r="EW288" s="6"/>
      <c r="EX288" s="6"/>
      <c r="EY288" s="6"/>
      <c r="EZ288" s="6"/>
      <c r="FA288" s="6"/>
      <c r="FB288" s="6"/>
      <c r="FC288" s="6"/>
      <c r="FD288" s="6"/>
      <c r="FE288" s="6"/>
      <c r="FF288" s="6"/>
      <c r="FG288" s="6"/>
      <c r="FH288" s="6"/>
      <c r="FI288" s="6"/>
      <c r="FJ288" s="6"/>
    </row>
    <row r="289" spans="1:166"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6"/>
      <c r="DO289" s="6"/>
      <c r="DP289" s="6"/>
      <c r="DQ289" s="6"/>
      <c r="DR289" s="6"/>
      <c r="DS289" s="6"/>
      <c r="DT289" s="6"/>
      <c r="DU289" s="6"/>
      <c r="DV289" s="6"/>
      <c r="DW289" s="6"/>
      <c r="DX289" s="6"/>
      <c r="DY289" s="6"/>
      <c r="DZ289" s="6"/>
      <c r="EA289" s="6"/>
      <c r="EB289" s="6"/>
      <c r="EC289" s="6"/>
      <c r="ED289" s="6"/>
      <c r="EE289" s="6"/>
      <c r="EF289" s="6"/>
      <c r="EG289" s="6"/>
      <c r="EH289" s="6"/>
      <c r="EI289" s="6"/>
      <c r="EJ289" s="6"/>
      <c r="EK289" s="6"/>
      <c r="EL289" s="6"/>
      <c r="EM289" s="6"/>
      <c r="EN289" s="6"/>
      <c r="EO289" s="6"/>
      <c r="EP289" s="6"/>
      <c r="EQ289" s="6"/>
      <c r="ER289" s="6"/>
      <c r="ES289" s="6"/>
      <c r="ET289" s="6"/>
      <c r="EU289" s="6"/>
      <c r="EV289" s="6"/>
      <c r="EW289" s="6"/>
      <c r="EX289" s="6"/>
      <c r="EY289" s="6"/>
      <c r="EZ289" s="6"/>
      <c r="FA289" s="6"/>
      <c r="FB289" s="6"/>
      <c r="FC289" s="6"/>
      <c r="FD289" s="6"/>
      <c r="FE289" s="6"/>
      <c r="FF289" s="6"/>
      <c r="FG289" s="6"/>
      <c r="FH289" s="6"/>
      <c r="FI289" s="6"/>
      <c r="FJ289" s="6"/>
    </row>
    <row r="290" spans="1:166"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c r="EE290" s="6"/>
      <c r="EF290" s="6"/>
      <c r="EG290" s="6"/>
      <c r="EH290" s="6"/>
      <c r="EI290" s="6"/>
      <c r="EJ290" s="6"/>
      <c r="EK290" s="6"/>
      <c r="EL290" s="6"/>
      <c r="EM290" s="6"/>
      <c r="EN290" s="6"/>
      <c r="EO290" s="6"/>
      <c r="EP290" s="6"/>
      <c r="EQ290" s="6"/>
      <c r="ER290" s="6"/>
      <c r="ES290" s="6"/>
      <c r="ET290" s="6"/>
      <c r="EU290" s="6"/>
      <c r="EV290" s="6"/>
      <c r="EW290" s="6"/>
      <c r="EX290" s="6"/>
      <c r="EY290" s="6"/>
      <c r="EZ290" s="6"/>
      <c r="FA290" s="6"/>
      <c r="FB290" s="6"/>
      <c r="FC290" s="6"/>
      <c r="FD290" s="6"/>
      <c r="FE290" s="6"/>
      <c r="FF290" s="6"/>
      <c r="FG290" s="6"/>
      <c r="FH290" s="6"/>
      <c r="FI290" s="6"/>
      <c r="FJ290" s="6"/>
    </row>
    <row r="291" spans="1:166"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6"/>
      <c r="ED291" s="6"/>
      <c r="EE291" s="6"/>
      <c r="EF291" s="6"/>
      <c r="EG291" s="6"/>
      <c r="EH291" s="6"/>
      <c r="EI291" s="6"/>
      <c r="EJ291" s="6"/>
      <c r="EK291" s="6"/>
      <c r="EL291" s="6"/>
      <c r="EM291" s="6"/>
      <c r="EN291" s="6"/>
      <c r="EO291" s="6"/>
      <c r="EP291" s="6"/>
      <c r="EQ291" s="6"/>
      <c r="ER291" s="6"/>
      <c r="ES291" s="6"/>
      <c r="ET291" s="6"/>
      <c r="EU291" s="6"/>
      <c r="EV291" s="6"/>
      <c r="EW291" s="6"/>
      <c r="EX291" s="6"/>
      <c r="EY291" s="6"/>
      <c r="EZ291" s="6"/>
      <c r="FA291" s="6"/>
      <c r="FB291" s="6"/>
      <c r="FC291" s="6"/>
      <c r="FD291" s="6"/>
      <c r="FE291" s="6"/>
      <c r="FF291" s="6"/>
      <c r="FG291" s="6"/>
      <c r="FH291" s="6"/>
      <c r="FI291" s="6"/>
      <c r="FJ291" s="6"/>
    </row>
    <row r="292" spans="1:166"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c r="EE292" s="6"/>
      <c r="EF292" s="6"/>
      <c r="EG292" s="6"/>
      <c r="EH292" s="6"/>
      <c r="EI292" s="6"/>
      <c r="EJ292" s="6"/>
      <c r="EK292" s="6"/>
      <c r="EL292" s="6"/>
      <c r="EM292" s="6"/>
      <c r="EN292" s="6"/>
      <c r="EO292" s="6"/>
      <c r="EP292" s="6"/>
      <c r="EQ292" s="6"/>
      <c r="ER292" s="6"/>
      <c r="ES292" s="6"/>
      <c r="ET292" s="6"/>
      <c r="EU292" s="6"/>
      <c r="EV292" s="6"/>
      <c r="EW292" s="6"/>
      <c r="EX292" s="6"/>
      <c r="EY292" s="6"/>
      <c r="EZ292" s="6"/>
      <c r="FA292" s="6"/>
      <c r="FB292" s="6"/>
      <c r="FC292" s="6"/>
      <c r="FD292" s="6"/>
      <c r="FE292" s="6"/>
      <c r="FF292" s="6"/>
      <c r="FG292" s="6"/>
      <c r="FH292" s="6"/>
      <c r="FI292" s="6"/>
      <c r="FJ292" s="6"/>
    </row>
    <row r="293" spans="1:166"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6"/>
      <c r="ED293" s="6"/>
      <c r="EE293" s="6"/>
      <c r="EF293" s="6"/>
      <c r="EG293" s="6"/>
      <c r="EH293" s="6"/>
      <c r="EI293" s="6"/>
      <c r="EJ293" s="6"/>
      <c r="EK293" s="6"/>
      <c r="EL293" s="6"/>
      <c r="EM293" s="6"/>
      <c r="EN293" s="6"/>
      <c r="EO293" s="6"/>
      <c r="EP293" s="6"/>
      <c r="EQ293" s="6"/>
      <c r="ER293" s="6"/>
      <c r="ES293" s="6"/>
      <c r="ET293" s="6"/>
      <c r="EU293" s="6"/>
      <c r="EV293" s="6"/>
      <c r="EW293" s="6"/>
      <c r="EX293" s="6"/>
      <c r="EY293" s="6"/>
      <c r="EZ293" s="6"/>
      <c r="FA293" s="6"/>
      <c r="FB293" s="6"/>
      <c r="FC293" s="6"/>
      <c r="FD293" s="6"/>
      <c r="FE293" s="6"/>
      <c r="FF293" s="6"/>
      <c r="FG293" s="6"/>
      <c r="FH293" s="6"/>
      <c r="FI293" s="6"/>
      <c r="FJ293" s="6"/>
    </row>
    <row r="294" spans="1:166"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6"/>
      <c r="ED294" s="6"/>
      <c r="EE294" s="6"/>
      <c r="EF294" s="6"/>
      <c r="EG294" s="6"/>
      <c r="EH294" s="6"/>
      <c r="EI294" s="6"/>
      <c r="EJ294" s="6"/>
      <c r="EK294" s="6"/>
      <c r="EL294" s="6"/>
      <c r="EM294" s="6"/>
      <c r="EN294" s="6"/>
      <c r="EO294" s="6"/>
      <c r="EP294" s="6"/>
      <c r="EQ294" s="6"/>
      <c r="ER294" s="6"/>
      <c r="ES294" s="6"/>
      <c r="ET294" s="6"/>
      <c r="EU294" s="6"/>
      <c r="EV294" s="6"/>
      <c r="EW294" s="6"/>
      <c r="EX294" s="6"/>
      <c r="EY294" s="6"/>
      <c r="EZ294" s="6"/>
      <c r="FA294" s="6"/>
      <c r="FB294" s="6"/>
      <c r="FC294" s="6"/>
      <c r="FD294" s="6"/>
      <c r="FE294" s="6"/>
      <c r="FF294" s="6"/>
      <c r="FG294" s="6"/>
      <c r="FH294" s="6"/>
      <c r="FI294" s="6"/>
      <c r="FJ294" s="6"/>
    </row>
    <row r="295" spans="1:166"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c r="DJ295" s="6"/>
      <c r="DK295" s="6"/>
      <c r="DL295" s="6"/>
      <c r="DM295" s="6"/>
      <c r="DN295" s="6"/>
      <c r="DO295" s="6"/>
      <c r="DP295" s="6"/>
      <c r="DQ295" s="6"/>
      <c r="DR295" s="6"/>
      <c r="DS295" s="6"/>
      <c r="DT295" s="6"/>
      <c r="DU295" s="6"/>
      <c r="DV295" s="6"/>
      <c r="DW295" s="6"/>
      <c r="DX295" s="6"/>
      <c r="DY295" s="6"/>
      <c r="DZ295" s="6"/>
      <c r="EA295" s="6"/>
      <c r="EB295" s="6"/>
      <c r="EC295" s="6"/>
      <c r="ED295" s="6"/>
      <c r="EE295" s="6"/>
      <c r="EF295" s="6"/>
      <c r="EG295" s="6"/>
      <c r="EH295" s="6"/>
      <c r="EI295" s="6"/>
      <c r="EJ295" s="6"/>
      <c r="EK295" s="6"/>
      <c r="EL295" s="6"/>
      <c r="EM295" s="6"/>
      <c r="EN295" s="6"/>
      <c r="EO295" s="6"/>
      <c r="EP295" s="6"/>
      <c r="EQ295" s="6"/>
      <c r="ER295" s="6"/>
      <c r="ES295" s="6"/>
      <c r="ET295" s="6"/>
      <c r="EU295" s="6"/>
      <c r="EV295" s="6"/>
      <c r="EW295" s="6"/>
      <c r="EX295" s="6"/>
      <c r="EY295" s="6"/>
      <c r="EZ295" s="6"/>
      <c r="FA295" s="6"/>
      <c r="FB295" s="6"/>
      <c r="FC295" s="6"/>
      <c r="FD295" s="6"/>
      <c r="FE295" s="6"/>
      <c r="FF295" s="6"/>
      <c r="FG295" s="6"/>
      <c r="FH295" s="6"/>
      <c r="FI295" s="6"/>
      <c r="FJ295" s="6"/>
    </row>
    <row r="296" spans="1:166"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c r="CV296" s="6"/>
      <c r="CW296" s="6"/>
      <c r="CX296" s="6"/>
      <c r="CY296" s="6"/>
      <c r="CZ296" s="6"/>
      <c r="DA296" s="6"/>
      <c r="DB296" s="6"/>
      <c r="DC296" s="6"/>
      <c r="DD296" s="6"/>
      <c r="DE296" s="6"/>
      <c r="DF296" s="6"/>
      <c r="DG296" s="6"/>
      <c r="DH296" s="6"/>
      <c r="DI296" s="6"/>
      <c r="DJ296" s="6"/>
      <c r="DK296" s="6"/>
      <c r="DL296" s="6"/>
      <c r="DM296" s="6"/>
      <c r="DN296" s="6"/>
      <c r="DO296" s="6"/>
      <c r="DP296" s="6"/>
      <c r="DQ296" s="6"/>
      <c r="DR296" s="6"/>
      <c r="DS296" s="6"/>
      <c r="DT296" s="6"/>
      <c r="DU296" s="6"/>
      <c r="DV296" s="6"/>
      <c r="DW296" s="6"/>
      <c r="DX296" s="6"/>
      <c r="DY296" s="6"/>
      <c r="DZ296" s="6"/>
      <c r="EA296" s="6"/>
      <c r="EB296" s="6"/>
      <c r="EC296" s="6"/>
      <c r="ED296" s="6"/>
      <c r="EE296" s="6"/>
      <c r="EF296" s="6"/>
      <c r="EG296" s="6"/>
      <c r="EH296" s="6"/>
      <c r="EI296" s="6"/>
      <c r="EJ296" s="6"/>
      <c r="EK296" s="6"/>
      <c r="EL296" s="6"/>
      <c r="EM296" s="6"/>
      <c r="EN296" s="6"/>
      <c r="EO296" s="6"/>
      <c r="EP296" s="6"/>
      <c r="EQ296" s="6"/>
      <c r="ER296" s="6"/>
      <c r="ES296" s="6"/>
      <c r="ET296" s="6"/>
      <c r="EU296" s="6"/>
      <c r="EV296" s="6"/>
      <c r="EW296" s="6"/>
      <c r="EX296" s="6"/>
      <c r="EY296" s="6"/>
      <c r="EZ296" s="6"/>
      <c r="FA296" s="6"/>
      <c r="FB296" s="6"/>
      <c r="FC296" s="6"/>
      <c r="FD296" s="6"/>
      <c r="FE296" s="6"/>
      <c r="FF296" s="6"/>
      <c r="FG296" s="6"/>
      <c r="FH296" s="6"/>
      <c r="FI296" s="6"/>
      <c r="FJ296" s="6"/>
    </row>
    <row r="297" spans="1:166"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c r="CV297" s="6"/>
      <c r="CW297" s="6"/>
      <c r="CX297" s="6"/>
      <c r="CY297" s="6"/>
      <c r="CZ297" s="6"/>
      <c r="DA297" s="6"/>
      <c r="DB297" s="6"/>
      <c r="DC297" s="6"/>
      <c r="DD297" s="6"/>
      <c r="DE297" s="6"/>
      <c r="DF297" s="6"/>
      <c r="DG297" s="6"/>
      <c r="DH297" s="6"/>
      <c r="DI297" s="6"/>
      <c r="DJ297" s="6"/>
      <c r="DK297" s="6"/>
      <c r="DL297" s="6"/>
      <c r="DM297" s="6"/>
      <c r="DN297" s="6"/>
      <c r="DO297" s="6"/>
      <c r="DP297" s="6"/>
      <c r="DQ297" s="6"/>
      <c r="DR297" s="6"/>
      <c r="DS297" s="6"/>
      <c r="DT297" s="6"/>
      <c r="DU297" s="6"/>
      <c r="DV297" s="6"/>
      <c r="DW297" s="6"/>
      <c r="DX297" s="6"/>
      <c r="DY297" s="6"/>
      <c r="DZ297" s="6"/>
      <c r="EA297" s="6"/>
      <c r="EB297" s="6"/>
      <c r="EC297" s="6"/>
      <c r="ED297" s="6"/>
      <c r="EE297" s="6"/>
      <c r="EF297" s="6"/>
      <c r="EG297" s="6"/>
      <c r="EH297" s="6"/>
      <c r="EI297" s="6"/>
      <c r="EJ297" s="6"/>
      <c r="EK297" s="6"/>
      <c r="EL297" s="6"/>
      <c r="EM297" s="6"/>
      <c r="EN297" s="6"/>
      <c r="EO297" s="6"/>
      <c r="EP297" s="6"/>
      <c r="EQ297" s="6"/>
      <c r="ER297" s="6"/>
      <c r="ES297" s="6"/>
      <c r="ET297" s="6"/>
      <c r="EU297" s="6"/>
      <c r="EV297" s="6"/>
      <c r="EW297" s="6"/>
      <c r="EX297" s="6"/>
      <c r="EY297" s="6"/>
      <c r="EZ297" s="6"/>
      <c r="FA297" s="6"/>
      <c r="FB297" s="6"/>
      <c r="FC297" s="6"/>
      <c r="FD297" s="6"/>
      <c r="FE297" s="6"/>
      <c r="FF297" s="6"/>
      <c r="FG297" s="6"/>
      <c r="FH297" s="6"/>
      <c r="FI297" s="6"/>
      <c r="FJ297" s="6"/>
    </row>
    <row r="298" spans="1:166"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c r="DJ298" s="6"/>
      <c r="DK298" s="6"/>
      <c r="DL298" s="6"/>
      <c r="DM298" s="6"/>
      <c r="DN298" s="6"/>
      <c r="DO298" s="6"/>
      <c r="DP298" s="6"/>
      <c r="DQ298" s="6"/>
      <c r="DR298" s="6"/>
      <c r="DS298" s="6"/>
      <c r="DT298" s="6"/>
      <c r="DU298" s="6"/>
      <c r="DV298" s="6"/>
      <c r="DW298" s="6"/>
      <c r="DX298" s="6"/>
      <c r="DY298" s="6"/>
      <c r="DZ298" s="6"/>
      <c r="EA298" s="6"/>
      <c r="EB298" s="6"/>
      <c r="EC298" s="6"/>
      <c r="ED298" s="6"/>
      <c r="EE298" s="6"/>
      <c r="EF298" s="6"/>
      <c r="EG298" s="6"/>
      <c r="EH298" s="6"/>
      <c r="EI298" s="6"/>
      <c r="EJ298" s="6"/>
      <c r="EK298" s="6"/>
      <c r="EL298" s="6"/>
      <c r="EM298" s="6"/>
      <c r="EN298" s="6"/>
      <c r="EO298" s="6"/>
      <c r="EP298" s="6"/>
      <c r="EQ298" s="6"/>
      <c r="ER298" s="6"/>
      <c r="ES298" s="6"/>
      <c r="ET298" s="6"/>
      <c r="EU298" s="6"/>
      <c r="EV298" s="6"/>
      <c r="EW298" s="6"/>
      <c r="EX298" s="6"/>
      <c r="EY298" s="6"/>
      <c r="EZ298" s="6"/>
      <c r="FA298" s="6"/>
      <c r="FB298" s="6"/>
      <c r="FC298" s="6"/>
      <c r="FD298" s="6"/>
      <c r="FE298" s="6"/>
      <c r="FF298" s="6"/>
      <c r="FG298" s="6"/>
      <c r="FH298" s="6"/>
      <c r="FI298" s="6"/>
      <c r="FJ298" s="6"/>
    </row>
    <row r="299" spans="1:166"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c r="CV299" s="6"/>
      <c r="CW299" s="6"/>
      <c r="CX299" s="6"/>
      <c r="CY299" s="6"/>
      <c r="CZ299" s="6"/>
      <c r="DA299" s="6"/>
      <c r="DB299" s="6"/>
      <c r="DC299" s="6"/>
      <c r="DD299" s="6"/>
      <c r="DE299" s="6"/>
      <c r="DF299" s="6"/>
      <c r="DG299" s="6"/>
      <c r="DH299" s="6"/>
      <c r="DI299" s="6"/>
      <c r="DJ299" s="6"/>
      <c r="DK299" s="6"/>
      <c r="DL299" s="6"/>
      <c r="DM299" s="6"/>
      <c r="DN299" s="6"/>
      <c r="DO299" s="6"/>
      <c r="DP299" s="6"/>
      <c r="DQ299" s="6"/>
      <c r="DR299" s="6"/>
      <c r="DS299" s="6"/>
      <c r="DT299" s="6"/>
      <c r="DU299" s="6"/>
      <c r="DV299" s="6"/>
      <c r="DW299" s="6"/>
      <c r="DX299" s="6"/>
      <c r="DY299" s="6"/>
      <c r="DZ299" s="6"/>
      <c r="EA299" s="6"/>
      <c r="EB299" s="6"/>
      <c r="EC299" s="6"/>
      <c r="ED299" s="6"/>
      <c r="EE299" s="6"/>
      <c r="EF299" s="6"/>
      <c r="EG299" s="6"/>
      <c r="EH299" s="6"/>
      <c r="EI299" s="6"/>
      <c r="EJ299" s="6"/>
      <c r="EK299" s="6"/>
      <c r="EL299" s="6"/>
      <c r="EM299" s="6"/>
      <c r="EN299" s="6"/>
      <c r="EO299" s="6"/>
      <c r="EP299" s="6"/>
      <c r="EQ299" s="6"/>
      <c r="ER299" s="6"/>
      <c r="ES299" s="6"/>
      <c r="ET299" s="6"/>
      <c r="EU299" s="6"/>
      <c r="EV299" s="6"/>
      <c r="EW299" s="6"/>
      <c r="EX299" s="6"/>
      <c r="EY299" s="6"/>
      <c r="EZ299" s="6"/>
      <c r="FA299" s="6"/>
      <c r="FB299" s="6"/>
      <c r="FC299" s="6"/>
      <c r="FD299" s="6"/>
      <c r="FE299" s="6"/>
      <c r="FF299" s="6"/>
      <c r="FG299" s="6"/>
      <c r="FH299" s="6"/>
      <c r="FI299" s="6"/>
      <c r="FJ299" s="6"/>
    </row>
    <row r="300" spans="1:166"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c r="CV300" s="6"/>
      <c r="CW300" s="6"/>
      <c r="CX300" s="6"/>
      <c r="CY300" s="6"/>
      <c r="CZ300" s="6"/>
      <c r="DA300" s="6"/>
      <c r="DB300" s="6"/>
      <c r="DC300" s="6"/>
      <c r="DD300" s="6"/>
      <c r="DE300" s="6"/>
      <c r="DF300" s="6"/>
      <c r="DG300" s="6"/>
      <c r="DH300" s="6"/>
      <c r="DI300" s="6"/>
      <c r="DJ300" s="6"/>
      <c r="DK300" s="6"/>
      <c r="DL300" s="6"/>
      <c r="DM300" s="6"/>
      <c r="DN300" s="6"/>
      <c r="DO300" s="6"/>
      <c r="DP300" s="6"/>
      <c r="DQ300" s="6"/>
      <c r="DR300" s="6"/>
      <c r="DS300" s="6"/>
      <c r="DT300" s="6"/>
      <c r="DU300" s="6"/>
      <c r="DV300" s="6"/>
      <c r="DW300" s="6"/>
      <c r="DX300" s="6"/>
      <c r="DY300" s="6"/>
      <c r="DZ300" s="6"/>
      <c r="EA300" s="6"/>
      <c r="EB300" s="6"/>
      <c r="EC300" s="6"/>
      <c r="ED300" s="6"/>
      <c r="EE300" s="6"/>
      <c r="EF300" s="6"/>
      <c r="EG300" s="6"/>
      <c r="EH300" s="6"/>
      <c r="EI300" s="6"/>
      <c r="EJ300" s="6"/>
      <c r="EK300" s="6"/>
      <c r="EL300" s="6"/>
      <c r="EM300" s="6"/>
      <c r="EN300" s="6"/>
      <c r="EO300" s="6"/>
      <c r="EP300" s="6"/>
      <c r="EQ300" s="6"/>
      <c r="ER300" s="6"/>
      <c r="ES300" s="6"/>
      <c r="ET300" s="6"/>
      <c r="EU300" s="6"/>
      <c r="EV300" s="6"/>
      <c r="EW300" s="6"/>
      <c r="EX300" s="6"/>
      <c r="EY300" s="6"/>
      <c r="EZ300" s="6"/>
      <c r="FA300" s="6"/>
      <c r="FB300" s="6"/>
      <c r="FC300" s="6"/>
      <c r="FD300" s="6"/>
      <c r="FE300" s="6"/>
      <c r="FF300" s="6"/>
      <c r="FG300" s="6"/>
      <c r="FH300" s="6"/>
      <c r="FI300" s="6"/>
      <c r="FJ300" s="6"/>
    </row>
    <row r="301" spans="1:166"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CW301" s="6"/>
      <c r="CX301" s="6"/>
      <c r="CY301" s="6"/>
      <c r="CZ301" s="6"/>
      <c r="DA301" s="6"/>
      <c r="DB301" s="6"/>
      <c r="DC301" s="6"/>
      <c r="DD301" s="6"/>
      <c r="DE301" s="6"/>
      <c r="DF301" s="6"/>
      <c r="DG301" s="6"/>
      <c r="DH301" s="6"/>
      <c r="DI301" s="6"/>
      <c r="DJ301" s="6"/>
      <c r="DK301" s="6"/>
      <c r="DL301" s="6"/>
      <c r="DM301" s="6"/>
      <c r="DN301" s="6"/>
      <c r="DO301" s="6"/>
      <c r="DP301" s="6"/>
      <c r="DQ301" s="6"/>
      <c r="DR301" s="6"/>
      <c r="DS301" s="6"/>
      <c r="DT301" s="6"/>
      <c r="DU301" s="6"/>
      <c r="DV301" s="6"/>
      <c r="DW301" s="6"/>
      <c r="DX301" s="6"/>
      <c r="DY301" s="6"/>
      <c r="DZ301" s="6"/>
      <c r="EA301" s="6"/>
      <c r="EB301" s="6"/>
      <c r="EC301" s="6"/>
      <c r="ED301" s="6"/>
      <c r="EE301" s="6"/>
      <c r="EF301" s="6"/>
      <c r="EG301" s="6"/>
      <c r="EH301" s="6"/>
      <c r="EI301" s="6"/>
      <c r="EJ301" s="6"/>
      <c r="EK301" s="6"/>
      <c r="EL301" s="6"/>
      <c r="EM301" s="6"/>
      <c r="EN301" s="6"/>
      <c r="EO301" s="6"/>
      <c r="EP301" s="6"/>
      <c r="EQ301" s="6"/>
      <c r="ER301" s="6"/>
      <c r="ES301" s="6"/>
      <c r="ET301" s="6"/>
      <c r="EU301" s="6"/>
      <c r="EV301" s="6"/>
      <c r="EW301" s="6"/>
      <c r="EX301" s="6"/>
      <c r="EY301" s="6"/>
      <c r="EZ301" s="6"/>
      <c r="FA301" s="6"/>
      <c r="FB301" s="6"/>
      <c r="FC301" s="6"/>
      <c r="FD301" s="6"/>
      <c r="FE301" s="6"/>
      <c r="FF301" s="6"/>
      <c r="FG301" s="6"/>
      <c r="FH301" s="6"/>
      <c r="FI301" s="6"/>
      <c r="FJ301" s="6"/>
    </row>
    <row r="302" spans="1:166"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CW302" s="6"/>
      <c r="CX302" s="6"/>
      <c r="CY302" s="6"/>
      <c r="CZ302" s="6"/>
      <c r="DA302" s="6"/>
      <c r="DB302" s="6"/>
      <c r="DC302" s="6"/>
      <c r="DD302" s="6"/>
      <c r="DE302" s="6"/>
      <c r="DF302" s="6"/>
      <c r="DG302" s="6"/>
      <c r="DH302" s="6"/>
      <c r="DI302" s="6"/>
      <c r="DJ302" s="6"/>
      <c r="DK302" s="6"/>
      <c r="DL302" s="6"/>
      <c r="DM302" s="6"/>
      <c r="DN302" s="6"/>
      <c r="DO302" s="6"/>
      <c r="DP302" s="6"/>
      <c r="DQ302" s="6"/>
      <c r="DR302" s="6"/>
      <c r="DS302" s="6"/>
      <c r="DT302" s="6"/>
      <c r="DU302" s="6"/>
      <c r="DV302" s="6"/>
      <c r="DW302" s="6"/>
      <c r="DX302" s="6"/>
      <c r="DY302" s="6"/>
      <c r="DZ302" s="6"/>
      <c r="EA302" s="6"/>
      <c r="EB302" s="6"/>
      <c r="EC302" s="6"/>
      <c r="ED302" s="6"/>
      <c r="EE302" s="6"/>
      <c r="EF302" s="6"/>
      <c r="EG302" s="6"/>
      <c r="EH302" s="6"/>
      <c r="EI302" s="6"/>
      <c r="EJ302" s="6"/>
      <c r="EK302" s="6"/>
      <c r="EL302" s="6"/>
      <c r="EM302" s="6"/>
      <c r="EN302" s="6"/>
      <c r="EO302" s="6"/>
      <c r="EP302" s="6"/>
      <c r="EQ302" s="6"/>
      <c r="ER302" s="6"/>
      <c r="ES302" s="6"/>
      <c r="ET302" s="6"/>
      <c r="EU302" s="6"/>
      <c r="EV302" s="6"/>
      <c r="EW302" s="6"/>
      <c r="EX302" s="6"/>
      <c r="EY302" s="6"/>
      <c r="EZ302" s="6"/>
      <c r="FA302" s="6"/>
      <c r="FB302" s="6"/>
      <c r="FC302" s="6"/>
      <c r="FD302" s="6"/>
      <c r="FE302" s="6"/>
      <c r="FF302" s="6"/>
      <c r="FG302" s="6"/>
      <c r="FH302" s="6"/>
      <c r="FI302" s="6"/>
      <c r="FJ302" s="6"/>
    </row>
    <row r="303" spans="1:166"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c r="DJ303" s="6"/>
      <c r="DK303" s="6"/>
      <c r="DL303" s="6"/>
      <c r="DM303" s="6"/>
      <c r="DN303" s="6"/>
      <c r="DO303" s="6"/>
      <c r="DP303" s="6"/>
      <c r="DQ303" s="6"/>
      <c r="DR303" s="6"/>
      <c r="DS303" s="6"/>
      <c r="DT303" s="6"/>
      <c r="DU303" s="6"/>
      <c r="DV303" s="6"/>
      <c r="DW303" s="6"/>
      <c r="DX303" s="6"/>
      <c r="DY303" s="6"/>
      <c r="DZ303" s="6"/>
      <c r="EA303" s="6"/>
      <c r="EB303" s="6"/>
      <c r="EC303" s="6"/>
      <c r="ED303" s="6"/>
      <c r="EE303" s="6"/>
      <c r="EF303" s="6"/>
      <c r="EG303" s="6"/>
      <c r="EH303" s="6"/>
      <c r="EI303" s="6"/>
      <c r="EJ303" s="6"/>
      <c r="EK303" s="6"/>
      <c r="EL303" s="6"/>
      <c r="EM303" s="6"/>
      <c r="EN303" s="6"/>
      <c r="EO303" s="6"/>
      <c r="EP303" s="6"/>
      <c r="EQ303" s="6"/>
      <c r="ER303" s="6"/>
      <c r="ES303" s="6"/>
      <c r="ET303" s="6"/>
      <c r="EU303" s="6"/>
      <c r="EV303" s="6"/>
      <c r="EW303" s="6"/>
      <c r="EX303" s="6"/>
      <c r="EY303" s="6"/>
      <c r="EZ303" s="6"/>
      <c r="FA303" s="6"/>
      <c r="FB303" s="6"/>
      <c r="FC303" s="6"/>
      <c r="FD303" s="6"/>
      <c r="FE303" s="6"/>
      <c r="FF303" s="6"/>
      <c r="FG303" s="6"/>
      <c r="FH303" s="6"/>
      <c r="FI303" s="6"/>
      <c r="FJ303" s="6"/>
    </row>
    <row r="304" spans="1:166"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6"/>
      <c r="DO304" s="6"/>
      <c r="DP304" s="6"/>
      <c r="DQ304" s="6"/>
      <c r="DR304" s="6"/>
      <c r="DS304" s="6"/>
      <c r="DT304" s="6"/>
      <c r="DU304" s="6"/>
      <c r="DV304" s="6"/>
      <c r="DW304" s="6"/>
      <c r="DX304" s="6"/>
      <c r="DY304" s="6"/>
      <c r="DZ304" s="6"/>
      <c r="EA304" s="6"/>
      <c r="EB304" s="6"/>
      <c r="EC304" s="6"/>
      <c r="ED304" s="6"/>
      <c r="EE304" s="6"/>
      <c r="EF304" s="6"/>
      <c r="EG304" s="6"/>
      <c r="EH304" s="6"/>
      <c r="EI304" s="6"/>
      <c r="EJ304" s="6"/>
      <c r="EK304" s="6"/>
      <c r="EL304" s="6"/>
      <c r="EM304" s="6"/>
      <c r="EN304" s="6"/>
      <c r="EO304" s="6"/>
      <c r="EP304" s="6"/>
      <c r="EQ304" s="6"/>
      <c r="ER304" s="6"/>
      <c r="ES304" s="6"/>
      <c r="ET304" s="6"/>
      <c r="EU304" s="6"/>
      <c r="EV304" s="6"/>
      <c r="EW304" s="6"/>
      <c r="EX304" s="6"/>
      <c r="EY304" s="6"/>
      <c r="EZ304" s="6"/>
      <c r="FA304" s="6"/>
      <c r="FB304" s="6"/>
      <c r="FC304" s="6"/>
      <c r="FD304" s="6"/>
      <c r="FE304" s="6"/>
      <c r="FF304" s="6"/>
      <c r="FG304" s="6"/>
      <c r="FH304" s="6"/>
      <c r="FI304" s="6"/>
      <c r="FJ304" s="6"/>
    </row>
    <row r="305" spans="1:166"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c r="DJ305" s="6"/>
      <c r="DK305" s="6"/>
      <c r="DL305" s="6"/>
      <c r="DM305" s="6"/>
      <c r="DN305" s="6"/>
      <c r="DO305" s="6"/>
      <c r="DP305" s="6"/>
      <c r="DQ305" s="6"/>
      <c r="DR305" s="6"/>
      <c r="DS305" s="6"/>
      <c r="DT305" s="6"/>
      <c r="DU305" s="6"/>
      <c r="DV305" s="6"/>
      <c r="DW305" s="6"/>
      <c r="DX305" s="6"/>
      <c r="DY305" s="6"/>
      <c r="DZ305" s="6"/>
      <c r="EA305" s="6"/>
      <c r="EB305" s="6"/>
      <c r="EC305" s="6"/>
      <c r="ED305" s="6"/>
      <c r="EE305" s="6"/>
      <c r="EF305" s="6"/>
      <c r="EG305" s="6"/>
      <c r="EH305" s="6"/>
      <c r="EI305" s="6"/>
      <c r="EJ305" s="6"/>
      <c r="EK305" s="6"/>
      <c r="EL305" s="6"/>
      <c r="EM305" s="6"/>
      <c r="EN305" s="6"/>
      <c r="EO305" s="6"/>
      <c r="EP305" s="6"/>
      <c r="EQ305" s="6"/>
      <c r="ER305" s="6"/>
      <c r="ES305" s="6"/>
      <c r="ET305" s="6"/>
      <c r="EU305" s="6"/>
      <c r="EV305" s="6"/>
      <c r="EW305" s="6"/>
      <c r="EX305" s="6"/>
      <c r="EY305" s="6"/>
      <c r="EZ305" s="6"/>
      <c r="FA305" s="6"/>
      <c r="FB305" s="6"/>
      <c r="FC305" s="6"/>
      <c r="FD305" s="6"/>
      <c r="FE305" s="6"/>
      <c r="FF305" s="6"/>
      <c r="FG305" s="6"/>
      <c r="FH305" s="6"/>
      <c r="FI305" s="6"/>
      <c r="FJ305" s="6"/>
    </row>
    <row r="306" spans="1:166"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c r="DJ306" s="6"/>
      <c r="DK306" s="6"/>
      <c r="DL306" s="6"/>
      <c r="DM306" s="6"/>
      <c r="DN306" s="6"/>
      <c r="DO306" s="6"/>
      <c r="DP306" s="6"/>
      <c r="DQ306" s="6"/>
      <c r="DR306" s="6"/>
      <c r="DS306" s="6"/>
      <c r="DT306" s="6"/>
      <c r="DU306" s="6"/>
      <c r="DV306" s="6"/>
      <c r="DW306" s="6"/>
      <c r="DX306" s="6"/>
      <c r="DY306" s="6"/>
      <c r="DZ306" s="6"/>
      <c r="EA306" s="6"/>
      <c r="EB306" s="6"/>
      <c r="EC306" s="6"/>
      <c r="ED306" s="6"/>
      <c r="EE306" s="6"/>
      <c r="EF306" s="6"/>
      <c r="EG306" s="6"/>
      <c r="EH306" s="6"/>
      <c r="EI306" s="6"/>
      <c r="EJ306" s="6"/>
      <c r="EK306" s="6"/>
      <c r="EL306" s="6"/>
      <c r="EM306" s="6"/>
      <c r="EN306" s="6"/>
      <c r="EO306" s="6"/>
      <c r="EP306" s="6"/>
      <c r="EQ306" s="6"/>
      <c r="ER306" s="6"/>
      <c r="ES306" s="6"/>
      <c r="ET306" s="6"/>
      <c r="EU306" s="6"/>
      <c r="EV306" s="6"/>
      <c r="EW306" s="6"/>
      <c r="EX306" s="6"/>
      <c r="EY306" s="6"/>
      <c r="EZ306" s="6"/>
      <c r="FA306" s="6"/>
      <c r="FB306" s="6"/>
      <c r="FC306" s="6"/>
      <c r="FD306" s="6"/>
      <c r="FE306" s="6"/>
      <c r="FF306" s="6"/>
      <c r="FG306" s="6"/>
      <c r="FH306" s="6"/>
      <c r="FI306" s="6"/>
      <c r="FJ306" s="6"/>
    </row>
    <row r="307" spans="1:166"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6"/>
      <c r="EH307" s="6"/>
      <c r="EI307" s="6"/>
      <c r="EJ307" s="6"/>
      <c r="EK307" s="6"/>
      <c r="EL307" s="6"/>
      <c r="EM307" s="6"/>
      <c r="EN307" s="6"/>
      <c r="EO307" s="6"/>
      <c r="EP307" s="6"/>
      <c r="EQ307" s="6"/>
      <c r="ER307" s="6"/>
      <c r="ES307" s="6"/>
      <c r="ET307" s="6"/>
      <c r="EU307" s="6"/>
      <c r="EV307" s="6"/>
      <c r="EW307" s="6"/>
      <c r="EX307" s="6"/>
      <c r="EY307" s="6"/>
      <c r="EZ307" s="6"/>
      <c r="FA307" s="6"/>
      <c r="FB307" s="6"/>
      <c r="FC307" s="6"/>
      <c r="FD307" s="6"/>
      <c r="FE307" s="6"/>
      <c r="FF307" s="6"/>
      <c r="FG307" s="6"/>
      <c r="FH307" s="6"/>
      <c r="FI307" s="6"/>
      <c r="FJ307" s="6"/>
    </row>
    <row r="308" spans="1:166"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c r="CV308" s="6"/>
      <c r="CW308" s="6"/>
      <c r="CX308" s="6"/>
      <c r="CY308" s="6"/>
      <c r="CZ308" s="6"/>
      <c r="DA308" s="6"/>
      <c r="DB308" s="6"/>
      <c r="DC308" s="6"/>
      <c r="DD308" s="6"/>
      <c r="DE308" s="6"/>
      <c r="DF308" s="6"/>
      <c r="DG308" s="6"/>
      <c r="DH308" s="6"/>
      <c r="DI308" s="6"/>
      <c r="DJ308" s="6"/>
      <c r="DK308" s="6"/>
      <c r="DL308" s="6"/>
      <c r="DM308" s="6"/>
      <c r="DN308" s="6"/>
      <c r="DO308" s="6"/>
      <c r="DP308" s="6"/>
      <c r="DQ308" s="6"/>
      <c r="DR308" s="6"/>
      <c r="DS308" s="6"/>
      <c r="DT308" s="6"/>
      <c r="DU308" s="6"/>
      <c r="DV308" s="6"/>
      <c r="DW308" s="6"/>
      <c r="DX308" s="6"/>
      <c r="DY308" s="6"/>
      <c r="DZ308" s="6"/>
      <c r="EA308" s="6"/>
      <c r="EB308" s="6"/>
      <c r="EC308" s="6"/>
      <c r="ED308" s="6"/>
      <c r="EE308" s="6"/>
      <c r="EF308" s="6"/>
      <c r="EG308" s="6"/>
      <c r="EH308" s="6"/>
      <c r="EI308" s="6"/>
      <c r="EJ308" s="6"/>
      <c r="EK308" s="6"/>
      <c r="EL308" s="6"/>
      <c r="EM308" s="6"/>
      <c r="EN308" s="6"/>
      <c r="EO308" s="6"/>
      <c r="EP308" s="6"/>
      <c r="EQ308" s="6"/>
      <c r="ER308" s="6"/>
      <c r="ES308" s="6"/>
      <c r="ET308" s="6"/>
      <c r="EU308" s="6"/>
      <c r="EV308" s="6"/>
      <c r="EW308" s="6"/>
      <c r="EX308" s="6"/>
      <c r="EY308" s="6"/>
      <c r="EZ308" s="6"/>
      <c r="FA308" s="6"/>
      <c r="FB308" s="6"/>
      <c r="FC308" s="6"/>
      <c r="FD308" s="6"/>
      <c r="FE308" s="6"/>
      <c r="FF308" s="6"/>
      <c r="FG308" s="6"/>
      <c r="FH308" s="6"/>
      <c r="FI308" s="6"/>
      <c r="FJ308" s="6"/>
    </row>
    <row r="309" spans="1:166"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c r="CV309" s="6"/>
      <c r="CW309" s="6"/>
      <c r="CX309" s="6"/>
      <c r="CY309" s="6"/>
      <c r="CZ309" s="6"/>
      <c r="DA309" s="6"/>
      <c r="DB309" s="6"/>
      <c r="DC309" s="6"/>
      <c r="DD309" s="6"/>
      <c r="DE309" s="6"/>
      <c r="DF309" s="6"/>
      <c r="DG309" s="6"/>
      <c r="DH309" s="6"/>
      <c r="DI309" s="6"/>
      <c r="DJ309" s="6"/>
      <c r="DK309" s="6"/>
      <c r="DL309" s="6"/>
      <c r="DM309" s="6"/>
      <c r="DN309" s="6"/>
      <c r="DO309" s="6"/>
      <c r="DP309" s="6"/>
      <c r="DQ309" s="6"/>
      <c r="DR309" s="6"/>
      <c r="DS309" s="6"/>
      <c r="DT309" s="6"/>
      <c r="DU309" s="6"/>
      <c r="DV309" s="6"/>
      <c r="DW309" s="6"/>
      <c r="DX309" s="6"/>
      <c r="DY309" s="6"/>
      <c r="DZ309" s="6"/>
      <c r="EA309" s="6"/>
      <c r="EB309" s="6"/>
      <c r="EC309" s="6"/>
      <c r="ED309" s="6"/>
      <c r="EE309" s="6"/>
      <c r="EF309" s="6"/>
      <c r="EG309" s="6"/>
      <c r="EH309" s="6"/>
      <c r="EI309" s="6"/>
      <c r="EJ309" s="6"/>
      <c r="EK309" s="6"/>
      <c r="EL309" s="6"/>
      <c r="EM309" s="6"/>
      <c r="EN309" s="6"/>
      <c r="EO309" s="6"/>
      <c r="EP309" s="6"/>
      <c r="EQ309" s="6"/>
      <c r="ER309" s="6"/>
      <c r="ES309" s="6"/>
      <c r="ET309" s="6"/>
      <c r="EU309" s="6"/>
      <c r="EV309" s="6"/>
      <c r="EW309" s="6"/>
      <c r="EX309" s="6"/>
      <c r="EY309" s="6"/>
      <c r="EZ309" s="6"/>
      <c r="FA309" s="6"/>
      <c r="FB309" s="6"/>
      <c r="FC309" s="6"/>
      <c r="FD309" s="6"/>
      <c r="FE309" s="6"/>
      <c r="FF309" s="6"/>
      <c r="FG309" s="6"/>
      <c r="FH309" s="6"/>
      <c r="FI309" s="6"/>
      <c r="FJ309" s="6"/>
    </row>
    <row r="310" spans="1:166"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c r="EN310" s="6"/>
      <c r="EO310" s="6"/>
      <c r="EP310" s="6"/>
      <c r="EQ310" s="6"/>
      <c r="ER310" s="6"/>
      <c r="ES310" s="6"/>
      <c r="ET310" s="6"/>
      <c r="EU310" s="6"/>
      <c r="EV310" s="6"/>
      <c r="EW310" s="6"/>
      <c r="EX310" s="6"/>
      <c r="EY310" s="6"/>
      <c r="EZ310" s="6"/>
      <c r="FA310" s="6"/>
      <c r="FB310" s="6"/>
      <c r="FC310" s="6"/>
      <c r="FD310" s="6"/>
      <c r="FE310" s="6"/>
      <c r="FF310" s="6"/>
      <c r="FG310" s="6"/>
      <c r="FH310" s="6"/>
      <c r="FI310" s="6"/>
      <c r="FJ310" s="6"/>
    </row>
    <row r="311" spans="1:166"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c r="CV311" s="6"/>
      <c r="CW311" s="6"/>
      <c r="CX311" s="6"/>
      <c r="CY311" s="6"/>
      <c r="CZ311" s="6"/>
      <c r="DA311" s="6"/>
      <c r="DB311" s="6"/>
      <c r="DC311" s="6"/>
      <c r="DD311" s="6"/>
      <c r="DE311" s="6"/>
      <c r="DF311" s="6"/>
      <c r="DG311" s="6"/>
      <c r="DH311" s="6"/>
      <c r="DI311" s="6"/>
      <c r="DJ311" s="6"/>
      <c r="DK311" s="6"/>
      <c r="DL311" s="6"/>
      <c r="DM311" s="6"/>
      <c r="DN311" s="6"/>
      <c r="DO311" s="6"/>
      <c r="DP311" s="6"/>
      <c r="DQ311" s="6"/>
      <c r="DR311" s="6"/>
      <c r="DS311" s="6"/>
      <c r="DT311" s="6"/>
      <c r="DU311" s="6"/>
      <c r="DV311" s="6"/>
      <c r="DW311" s="6"/>
      <c r="DX311" s="6"/>
      <c r="DY311" s="6"/>
      <c r="DZ311" s="6"/>
      <c r="EA311" s="6"/>
      <c r="EB311" s="6"/>
      <c r="EC311" s="6"/>
      <c r="ED311" s="6"/>
      <c r="EE311" s="6"/>
      <c r="EF311" s="6"/>
      <c r="EG311" s="6"/>
      <c r="EH311" s="6"/>
      <c r="EI311" s="6"/>
      <c r="EJ311" s="6"/>
      <c r="EK311" s="6"/>
      <c r="EL311" s="6"/>
      <c r="EM311" s="6"/>
      <c r="EN311" s="6"/>
      <c r="EO311" s="6"/>
      <c r="EP311" s="6"/>
      <c r="EQ311" s="6"/>
      <c r="ER311" s="6"/>
      <c r="ES311" s="6"/>
      <c r="ET311" s="6"/>
      <c r="EU311" s="6"/>
      <c r="EV311" s="6"/>
      <c r="EW311" s="6"/>
      <c r="EX311" s="6"/>
      <c r="EY311" s="6"/>
      <c r="EZ311" s="6"/>
      <c r="FA311" s="6"/>
      <c r="FB311" s="6"/>
      <c r="FC311" s="6"/>
      <c r="FD311" s="6"/>
      <c r="FE311" s="6"/>
      <c r="FF311" s="6"/>
      <c r="FG311" s="6"/>
      <c r="FH311" s="6"/>
      <c r="FI311" s="6"/>
      <c r="FJ311" s="6"/>
    </row>
    <row r="312" spans="1:166"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c r="EE312" s="6"/>
      <c r="EF312" s="6"/>
      <c r="EG312" s="6"/>
      <c r="EH312" s="6"/>
      <c r="EI312" s="6"/>
      <c r="EJ312" s="6"/>
      <c r="EK312" s="6"/>
      <c r="EL312" s="6"/>
      <c r="EM312" s="6"/>
      <c r="EN312" s="6"/>
      <c r="EO312" s="6"/>
      <c r="EP312" s="6"/>
      <c r="EQ312" s="6"/>
      <c r="ER312" s="6"/>
      <c r="ES312" s="6"/>
      <c r="ET312" s="6"/>
      <c r="EU312" s="6"/>
      <c r="EV312" s="6"/>
      <c r="EW312" s="6"/>
      <c r="EX312" s="6"/>
      <c r="EY312" s="6"/>
      <c r="EZ312" s="6"/>
      <c r="FA312" s="6"/>
      <c r="FB312" s="6"/>
      <c r="FC312" s="6"/>
      <c r="FD312" s="6"/>
      <c r="FE312" s="6"/>
      <c r="FF312" s="6"/>
      <c r="FG312" s="6"/>
      <c r="FH312" s="6"/>
      <c r="FI312" s="6"/>
      <c r="FJ312" s="6"/>
    </row>
    <row r="313" spans="1:166"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c r="EE313" s="6"/>
      <c r="EF313" s="6"/>
      <c r="EG313" s="6"/>
      <c r="EH313" s="6"/>
      <c r="EI313" s="6"/>
      <c r="EJ313" s="6"/>
      <c r="EK313" s="6"/>
      <c r="EL313" s="6"/>
      <c r="EM313" s="6"/>
      <c r="EN313" s="6"/>
      <c r="EO313" s="6"/>
      <c r="EP313" s="6"/>
      <c r="EQ313" s="6"/>
      <c r="ER313" s="6"/>
      <c r="ES313" s="6"/>
      <c r="ET313" s="6"/>
      <c r="EU313" s="6"/>
      <c r="EV313" s="6"/>
      <c r="EW313" s="6"/>
      <c r="EX313" s="6"/>
      <c r="EY313" s="6"/>
      <c r="EZ313" s="6"/>
      <c r="FA313" s="6"/>
      <c r="FB313" s="6"/>
      <c r="FC313" s="6"/>
      <c r="FD313" s="6"/>
      <c r="FE313" s="6"/>
      <c r="FF313" s="6"/>
      <c r="FG313" s="6"/>
      <c r="FH313" s="6"/>
      <c r="FI313" s="6"/>
      <c r="FJ313" s="6"/>
    </row>
    <row r="314" spans="1:166"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6"/>
      <c r="EH314" s="6"/>
      <c r="EI314" s="6"/>
      <c r="EJ314" s="6"/>
      <c r="EK314" s="6"/>
      <c r="EL314" s="6"/>
      <c r="EM314" s="6"/>
      <c r="EN314" s="6"/>
      <c r="EO314" s="6"/>
      <c r="EP314" s="6"/>
      <c r="EQ314" s="6"/>
      <c r="ER314" s="6"/>
      <c r="ES314" s="6"/>
      <c r="ET314" s="6"/>
      <c r="EU314" s="6"/>
      <c r="EV314" s="6"/>
      <c r="EW314" s="6"/>
      <c r="EX314" s="6"/>
      <c r="EY314" s="6"/>
      <c r="EZ314" s="6"/>
      <c r="FA314" s="6"/>
      <c r="FB314" s="6"/>
      <c r="FC314" s="6"/>
      <c r="FD314" s="6"/>
      <c r="FE314" s="6"/>
      <c r="FF314" s="6"/>
      <c r="FG314" s="6"/>
      <c r="FH314" s="6"/>
      <c r="FI314" s="6"/>
      <c r="FJ314" s="6"/>
    </row>
    <row r="315" spans="1:166"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c r="EE315" s="6"/>
      <c r="EF315" s="6"/>
      <c r="EG315" s="6"/>
      <c r="EH315" s="6"/>
      <c r="EI315" s="6"/>
      <c r="EJ315" s="6"/>
      <c r="EK315" s="6"/>
      <c r="EL315" s="6"/>
      <c r="EM315" s="6"/>
      <c r="EN315" s="6"/>
      <c r="EO315" s="6"/>
      <c r="EP315" s="6"/>
      <c r="EQ315" s="6"/>
      <c r="ER315" s="6"/>
      <c r="ES315" s="6"/>
      <c r="ET315" s="6"/>
      <c r="EU315" s="6"/>
      <c r="EV315" s="6"/>
      <c r="EW315" s="6"/>
      <c r="EX315" s="6"/>
      <c r="EY315" s="6"/>
      <c r="EZ315" s="6"/>
      <c r="FA315" s="6"/>
      <c r="FB315" s="6"/>
      <c r="FC315" s="6"/>
      <c r="FD315" s="6"/>
      <c r="FE315" s="6"/>
      <c r="FF315" s="6"/>
      <c r="FG315" s="6"/>
      <c r="FH315" s="6"/>
      <c r="FI315" s="6"/>
      <c r="FJ315" s="6"/>
    </row>
    <row r="316" spans="1:166"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6"/>
      <c r="EH316" s="6"/>
      <c r="EI316" s="6"/>
      <c r="EJ316" s="6"/>
      <c r="EK316" s="6"/>
      <c r="EL316" s="6"/>
      <c r="EM316" s="6"/>
      <c r="EN316" s="6"/>
      <c r="EO316" s="6"/>
      <c r="EP316" s="6"/>
      <c r="EQ316" s="6"/>
      <c r="ER316" s="6"/>
      <c r="ES316" s="6"/>
      <c r="ET316" s="6"/>
      <c r="EU316" s="6"/>
      <c r="EV316" s="6"/>
      <c r="EW316" s="6"/>
      <c r="EX316" s="6"/>
      <c r="EY316" s="6"/>
      <c r="EZ316" s="6"/>
      <c r="FA316" s="6"/>
      <c r="FB316" s="6"/>
      <c r="FC316" s="6"/>
      <c r="FD316" s="6"/>
      <c r="FE316" s="6"/>
      <c r="FF316" s="6"/>
      <c r="FG316" s="6"/>
      <c r="FH316" s="6"/>
      <c r="FI316" s="6"/>
      <c r="FJ316" s="6"/>
    </row>
    <row r="317" spans="1:166"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c r="EE317" s="6"/>
      <c r="EF317" s="6"/>
      <c r="EG317" s="6"/>
      <c r="EH317" s="6"/>
      <c r="EI317" s="6"/>
      <c r="EJ317" s="6"/>
      <c r="EK317" s="6"/>
      <c r="EL317" s="6"/>
      <c r="EM317" s="6"/>
      <c r="EN317" s="6"/>
      <c r="EO317" s="6"/>
      <c r="EP317" s="6"/>
      <c r="EQ317" s="6"/>
      <c r="ER317" s="6"/>
      <c r="ES317" s="6"/>
      <c r="ET317" s="6"/>
      <c r="EU317" s="6"/>
      <c r="EV317" s="6"/>
      <c r="EW317" s="6"/>
      <c r="EX317" s="6"/>
      <c r="EY317" s="6"/>
      <c r="EZ317" s="6"/>
      <c r="FA317" s="6"/>
      <c r="FB317" s="6"/>
      <c r="FC317" s="6"/>
      <c r="FD317" s="6"/>
      <c r="FE317" s="6"/>
      <c r="FF317" s="6"/>
      <c r="FG317" s="6"/>
      <c r="FH317" s="6"/>
      <c r="FI317" s="6"/>
      <c r="FJ317" s="6"/>
    </row>
    <row r="318" spans="1:166"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6"/>
      <c r="EH318" s="6"/>
      <c r="EI318" s="6"/>
      <c r="EJ318" s="6"/>
      <c r="EK318" s="6"/>
      <c r="EL318" s="6"/>
      <c r="EM318" s="6"/>
      <c r="EN318" s="6"/>
      <c r="EO318" s="6"/>
      <c r="EP318" s="6"/>
      <c r="EQ318" s="6"/>
      <c r="ER318" s="6"/>
      <c r="ES318" s="6"/>
      <c r="ET318" s="6"/>
      <c r="EU318" s="6"/>
      <c r="EV318" s="6"/>
      <c r="EW318" s="6"/>
      <c r="EX318" s="6"/>
      <c r="EY318" s="6"/>
      <c r="EZ318" s="6"/>
      <c r="FA318" s="6"/>
      <c r="FB318" s="6"/>
      <c r="FC318" s="6"/>
      <c r="FD318" s="6"/>
      <c r="FE318" s="6"/>
      <c r="FF318" s="6"/>
      <c r="FG318" s="6"/>
      <c r="FH318" s="6"/>
      <c r="FI318" s="6"/>
      <c r="FJ318" s="6"/>
    </row>
    <row r="319" spans="1:166"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c r="EE319" s="6"/>
      <c r="EF319" s="6"/>
      <c r="EG319" s="6"/>
      <c r="EH319" s="6"/>
      <c r="EI319" s="6"/>
      <c r="EJ319" s="6"/>
      <c r="EK319" s="6"/>
      <c r="EL319" s="6"/>
      <c r="EM319" s="6"/>
      <c r="EN319" s="6"/>
      <c r="EO319" s="6"/>
      <c r="EP319" s="6"/>
      <c r="EQ319" s="6"/>
      <c r="ER319" s="6"/>
      <c r="ES319" s="6"/>
      <c r="ET319" s="6"/>
      <c r="EU319" s="6"/>
      <c r="EV319" s="6"/>
      <c r="EW319" s="6"/>
      <c r="EX319" s="6"/>
      <c r="EY319" s="6"/>
      <c r="EZ319" s="6"/>
      <c r="FA319" s="6"/>
      <c r="FB319" s="6"/>
      <c r="FC319" s="6"/>
      <c r="FD319" s="6"/>
      <c r="FE319" s="6"/>
      <c r="FF319" s="6"/>
      <c r="FG319" s="6"/>
      <c r="FH319" s="6"/>
      <c r="FI319" s="6"/>
      <c r="FJ319" s="6"/>
    </row>
    <row r="320" spans="1:166"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c r="EE320" s="6"/>
      <c r="EF320" s="6"/>
      <c r="EG320" s="6"/>
      <c r="EH320" s="6"/>
      <c r="EI320" s="6"/>
      <c r="EJ320" s="6"/>
      <c r="EK320" s="6"/>
      <c r="EL320" s="6"/>
      <c r="EM320" s="6"/>
      <c r="EN320" s="6"/>
      <c r="EO320" s="6"/>
      <c r="EP320" s="6"/>
      <c r="EQ320" s="6"/>
      <c r="ER320" s="6"/>
      <c r="ES320" s="6"/>
      <c r="ET320" s="6"/>
      <c r="EU320" s="6"/>
      <c r="EV320" s="6"/>
      <c r="EW320" s="6"/>
      <c r="EX320" s="6"/>
      <c r="EY320" s="6"/>
      <c r="EZ320" s="6"/>
      <c r="FA320" s="6"/>
      <c r="FB320" s="6"/>
      <c r="FC320" s="6"/>
      <c r="FD320" s="6"/>
      <c r="FE320" s="6"/>
      <c r="FF320" s="6"/>
      <c r="FG320" s="6"/>
      <c r="FH320" s="6"/>
      <c r="FI320" s="6"/>
      <c r="FJ320" s="6"/>
    </row>
    <row r="321" spans="1:166"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c r="EE321" s="6"/>
      <c r="EF321" s="6"/>
      <c r="EG321" s="6"/>
      <c r="EH321" s="6"/>
      <c r="EI321" s="6"/>
      <c r="EJ321" s="6"/>
      <c r="EK321" s="6"/>
      <c r="EL321" s="6"/>
      <c r="EM321" s="6"/>
      <c r="EN321" s="6"/>
      <c r="EO321" s="6"/>
      <c r="EP321" s="6"/>
      <c r="EQ321" s="6"/>
      <c r="ER321" s="6"/>
      <c r="ES321" s="6"/>
      <c r="ET321" s="6"/>
      <c r="EU321" s="6"/>
      <c r="EV321" s="6"/>
      <c r="EW321" s="6"/>
      <c r="EX321" s="6"/>
      <c r="EY321" s="6"/>
      <c r="EZ321" s="6"/>
      <c r="FA321" s="6"/>
      <c r="FB321" s="6"/>
      <c r="FC321" s="6"/>
      <c r="FD321" s="6"/>
      <c r="FE321" s="6"/>
      <c r="FF321" s="6"/>
      <c r="FG321" s="6"/>
      <c r="FH321" s="6"/>
      <c r="FI321" s="6"/>
      <c r="FJ321" s="6"/>
    </row>
    <row r="322" spans="1:166"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6"/>
      <c r="EH322" s="6"/>
      <c r="EI322" s="6"/>
      <c r="EJ322" s="6"/>
      <c r="EK322" s="6"/>
      <c r="EL322" s="6"/>
      <c r="EM322" s="6"/>
      <c r="EN322" s="6"/>
      <c r="EO322" s="6"/>
      <c r="EP322" s="6"/>
      <c r="EQ322" s="6"/>
      <c r="ER322" s="6"/>
      <c r="ES322" s="6"/>
      <c r="ET322" s="6"/>
      <c r="EU322" s="6"/>
      <c r="EV322" s="6"/>
      <c r="EW322" s="6"/>
      <c r="EX322" s="6"/>
      <c r="EY322" s="6"/>
      <c r="EZ322" s="6"/>
      <c r="FA322" s="6"/>
      <c r="FB322" s="6"/>
      <c r="FC322" s="6"/>
      <c r="FD322" s="6"/>
      <c r="FE322" s="6"/>
      <c r="FF322" s="6"/>
      <c r="FG322" s="6"/>
      <c r="FH322" s="6"/>
      <c r="FI322" s="6"/>
      <c r="FJ322" s="6"/>
    </row>
    <row r="323" spans="1:166"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6"/>
      <c r="EH323" s="6"/>
      <c r="EI323" s="6"/>
      <c r="EJ323" s="6"/>
      <c r="EK323" s="6"/>
      <c r="EL323" s="6"/>
      <c r="EM323" s="6"/>
      <c r="EN323" s="6"/>
      <c r="EO323" s="6"/>
      <c r="EP323" s="6"/>
      <c r="EQ323" s="6"/>
      <c r="ER323" s="6"/>
      <c r="ES323" s="6"/>
      <c r="ET323" s="6"/>
      <c r="EU323" s="6"/>
      <c r="EV323" s="6"/>
      <c r="EW323" s="6"/>
      <c r="EX323" s="6"/>
      <c r="EY323" s="6"/>
      <c r="EZ323" s="6"/>
      <c r="FA323" s="6"/>
      <c r="FB323" s="6"/>
      <c r="FC323" s="6"/>
      <c r="FD323" s="6"/>
      <c r="FE323" s="6"/>
      <c r="FF323" s="6"/>
      <c r="FG323" s="6"/>
      <c r="FH323" s="6"/>
      <c r="FI323" s="6"/>
      <c r="FJ323" s="6"/>
    </row>
    <row r="324" spans="1:166"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c r="EE324" s="6"/>
      <c r="EF324" s="6"/>
      <c r="EG324" s="6"/>
      <c r="EH324" s="6"/>
      <c r="EI324" s="6"/>
      <c r="EJ324" s="6"/>
      <c r="EK324" s="6"/>
      <c r="EL324" s="6"/>
      <c r="EM324" s="6"/>
      <c r="EN324" s="6"/>
      <c r="EO324" s="6"/>
      <c r="EP324" s="6"/>
      <c r="EQ324" s="6"/>
      <c r="ER324" s="6"/>
      <c r="ES324" s="6"/>
      <c r="ET324" s="6"/>
      <c r="EU324" s="6"/>
      <c r="EV324" s="6"/>
      <c r="EW324" s="6"/>
      <c r="EX324" s="6"/>
      <c r="EY324" s="6"/>
      <c r="EZ324" s="6"/>
      <c r="FA324" s="6"/>
      <c r="FB324" s="6"/>
      <c r="FC324" s="6"/>
      <c r="FD324" s="6"/>
      <c r="FE324" s="6"/>
      <c r="FF324" s="6"/>
      <c r="FG324" s="6"/>
      <c r="FH324" s="6"/>
      <c r="FI324" s="6"/>
      <c r="FJ324" s="6"/>
    </row>
    <row r="325" spans="1:166"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c r="EE325" s="6"/>
      <c r="EF325" s="6"/>
      <c r="EG325" s="6"/>
      <c r="EH325" s="6"/>
      <c r="EI325" s="6"/>
      <c r="EJ325" s="6"/>
      <c r="EK325" s="6"/>
      <c r="EL325" s="6"/>
      <c r="EM325" s="6"/>
      <c r="EN325" s="6"/>
      <c r="EO325" s="6"/>
      <c r="EP325" s="6"/>
      <c r="EQ325" s="6"/>
      <c r="ER325" s="6"/>
      <c r="ES325" s="6"/>
      <c r="ET325" s="6"/>
      <c r="EU325" s="6"/>
      <c r="EV325" s="6"/>
      <c r="EW325" s="6"/>
      <c r="EX325" s="6"/>
      <c r="EY325" s="6"/>
      <c r="EZ325" s="6"/>
      <c r="FA325" s="6"/>
      <c r="FB325" s="6"/>
      <c r="FC325" s="6"/>
      <c r="FD325" s="6"/>
      <c r="FE325" s="6"/>
      <c r="FF325" s="6"/>
      <c r="FG325" s="6"/>
      <c r="FH325" s="6"/>
      <c r="FI325" s="6"/>
      <c r="FJ325" s="6"/>
    </row>
    <row r="326" spans="1:166"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c r="EE326" s="6"/>
      <c r="EF326" s="6"/>
      <c r="EG326" s="6"/>
      <c r="EH326" s="6"/>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I326" s="6"/>
      <c r="FJ326" s="6"/>
    </row>
    <row r="327" spans="1:166"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c r="EE327" s="6"/>
      <c r="EF327" s="6"/>
      <c r="EG327" s="6"/>
      <c r="EH327" s="6"/>
      <c r="EI327" s="6"/>
      <c r="EJ327" s="6"/>
      <c r="EK327" s="6"/>
      <c r="EL327" s="6"/>
      <c r="EM327" s="6"/>
      <c r="EN327" s="6"/>
      <c r="EO327" s="6"/>
      <c r="EP327" s="6"/>
      <c r="EQ327" s="6"/>
      <c r="ER327" s="6"/>
      <c r="ES327" s="6"/>
      <c r="ET327" s="6"/>
      <c r="EU327" s="6"/>
      <c r="EV327" s="6"/>
      <c r="EW327" s="6"/>
      <c r="EX327" s="6"/>
      <c r="EY327" s="6"/>
      <c r="EZ327" s="6"/>
      <c r="FA327" s="6"/>
      <c r="FB327" s="6"/>
      <c r="FC327" s="6"/>
      <c r="FD327" s="6"/>
      <c r="FE327" s="6"/>
      <c r="FF327" s="6"/>
      <c r="FG327" s="6"/>
      <c r="FH327" s="6"/>
      <c r="FI327" s="6"/>
      <c r="FJ327" s="6"/>
    </row>
    <row r="328" spans="1:166"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c r="EE328" s="6"/>
      <c r="EF328" s="6"/>
      <c r="EG328" s="6"/>
      <c r="EH328" s="6"/>
      <c r="EI328" s="6"/>
      <c r="EJ328" s="6"/>
      <c r="EK328" s="6"/>
      <c r="EL328" s="6"/>
      <c r="EM328" s="6"/>
      <c r="EN328" s="6"/>
      <c r="EO328" s="6"/>
      <c r="EP328" s="6"/>
      <c r="EQ328" s="6"/>
      <c r="ER328" s="6"/>
      <c r="ES328" s="6"/>
      <c r="ET328" s="6"/>
      <c r="EU328" s="6"/>
      <c r="EV328" s="6"/>
      <c r="EW328" s="6"/>
      <c r="EX328" s="6"/>
      <c r="EY328" s="6"/>
      <c r="EZ328" s="6"/>
      <c r="FA328" s="6"/>
      <c r="FB328" s="6"/>
      <c r="FC328" s="6"/>
      <c r="FD328" s="6"/>
      <c r="FE328" s="6"/>
      <c r="FF328" s="6"/>
      <c r="FG328" s="6"/>
      <c r="FH328" s="6"/>
      <c r="FI328" s="6"/>
      <c r="FJ328" s="6"/>
    </row>
    <row r="329" spans="1:166"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6"/>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J329" s="6"/>
    </row>
    <row r="330" spans="1:166"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c r="EE330" s="6"/>
      <c r="EF330" s="6"/>
      <c r="EG330" s="6"/>
      <c r="EH330" s="6"/>
      <c r="EI330" s="6"/>
      <c r="EJ330" s="6"/>
      <c r="EK330" s="6"/>
      <c r="EL330" s="6"/>
      <c r="EM330" s="6"/>
      <c r="EN330" s="6"/>
      <c r="EO330" s="6"/>
      <c r="EP330" s="6"/>
      <c r="EQ330" s="6"/>
      <c r="ER330" s="6"/>
      <c r="ES330" s="6"/>
      <c r="ET330" s="6"/>
      <c r="EU330" s="6"/>
      <c r="EV330" s="6"/>
      <c r="EW330" s="6"/>
      <c r="EX330" s="6"/>
      <c r="EY330" s="6"/>
      <c r="EZ330" s="6"/>
      <c r="FA330" s="6"/>
      <c r="FB330" s="6"/>
      <c r="FC330" s="6"/>
      <c r="FD330" s="6"/>
      <c r="FE330" s="6"/>
      <c r="FF330" s="6"/>
      <c r="FG330" s="6"/>
      <c r="FH330" s="6"/>
      <c r="FI330" s="6"/>
      <c r="FJ330" s="6"/>
    </row>
    <row r="331" spans="1:166"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c r="EE331" s="6"/>
      <c r="EF331" s="6"/>
      <c r="EG331" s="6"/>
      <c r="EH331" s="6"/>
      <c r="EI331" s="6"/>
      <c r="EJ331" s="6"/>
      <c r="EK331" s="6"/>
      <c r="EL331" s="6"/>
      <c r="EM331" s="6"/>
      <c r="EN331" s="6"/>
      <c r="EO331" s="6"/>
      <c r="EP331" s="6"/>
      <c r="EQ331" s="6"/>
      <c r="ER331" s="6"/>
      <c r="ES331" s="6"/>
      <c r="ET331" s="6"/>
      <c r="EU331" s="6"/>
      <c r="EV331" s="6"/>
      <c r="EW331" s="6"/>
      <c r="EX331" s="6"/>
      <c r="EY331" s="6"/>
      <c r="EZ331" s="6"/>
      <c r="FA331" s="6"/>
      <c r="FB331" s="6"/>
      <c r="FC331" s="6"/>
      <c r="FD331" s="6"/>
      <c r="FE331" s="6"/>
      <c r="FF331" s="6"/>
      <c r="FG331" s="6"/>
      <c r="FH331" s="6"/>
      <c r="FI331" s="6"/>
      <c r="FJ331" s="6"/>
    </row>
    <row r="332" spans="1:166"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c r="EE332" s="6"/>
      <c r="EF332" s="6"/>
      <c r="EG332" s="6"/>
      <c r="EH332" s="6"/>
      <c r="EI332" s="6"/>
      <c r="EJ332" s="6"/>
      <c r="EK332" s="6"/>
      <c r="EL332" s="6"/>
      <c r="EM332" s="6"/>
      <c r="EN332" s="6"/>
      <c r="EO332" s="6"/>
      <c r="EP332" s="6"/>
      <c r="EQ332" s="6"/>
      <c r="ER332" s="6"/>
      <c r="ES332" s="6"/>
      <c r="ET332" s="6"/>
      <c r="EU332" s="6"/>
      <c r="EV332" s="6"/>
      <c r="EW332" s="6"/>
      <c r="EX332" s="6"/>
      <c r="EY332" s="6"/>
      <c r="EZ332" s="6"/>
      <c r="FA332" s="6"/>
      <c r="FB332" s="6"/>
      <c r="FC332" s="6"/>
      <c r="FD332" s="6"/>
      <c r="FE332" s="6"/>
      <c r="FF332" s="6"/>
      <c r="FG332" s="6"/>
      <c r="FH332" s="6"/>
      <c r="FI332" s="6"/>
      <c r="FJ332" s="6"/>
    </row>
    <row r="333" spans="1:166"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c r="EE333" s="6"/>
      <c r="EF333" s="6"/>
      <c r="EG333" s="6"/>
      <c r="EH333" s="6"/>
      <c r="EI333" s="6"/>
      <c r="EJ333" s="6"/>
      <c r="EK333" s="6"/>
      <c r="EL333" s="6"/>
      <c r="EM333" s="6"/>
      <c r="EN333" s="6"/>
      <c r="EO333" s="6"/>
      <c r="EP333" s="6"/>
      <c r="EQ333" s="6"/>
      <c r="ER333" s="6"/>
      <c r="ES333" s="6"/>
      <c r="ET333" s="6"/>
      <c r="EU333" s="6"/>
      <c r="EV333" s="6"/>
      <c r="EW333" s="6"/>
      <c r="EX333" s="6"/>
      <c r="EY333" s="6"/>
      <c r="EZ333" s="6"/>
      <c r="FA333" s="6"/>
      <c r="FB333" s="6"/>
      <c r="FC333" s="6"/>
      <c r="FD333" s="6"/>
      <c r="FE333" s="6"/>
      <c r="FF333" s="6"/>
      <c r="FG333" s="6"/>
      <c r="FH333" s="6"/>
      <c r="FI333" s="6"/>
      <c r="FJ333" s="6"/>
    </row>
    <row r="334" spans="1:166"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6"/>
      <c r="EH334" s="6"/>
      <c r="EI334" s="6"/>
      <c r="EJ334" s="6"/>
      <c r="EK334" s="6"/>
      <c r="EL334" s="6"/>
      <c r="EM334" s="6"/>
      <c r="EN334" s="6"/>
      <c r="EO334" s="6"/>
      <c r="EP334" s="6"/>
      <c r="EQ334" s="6"/>
      <c r="ER334" s="6"/>
      <c r="ES334" s="6"/>
      <c r="ET334" s="6"/>
      <c r="EU334" s="6"/>
      <c r="EV334" s="6"/>
      <c r="EW334" s="6"/>
      <c r="EX334" s="6"/>
      <c r="EY334" s="6"/>
      <c r="EZ334" s="6"/>
      <c r="FA334" s="6"/>
      <c r="FB334" s="6"/>
      <c r="FC334" s="6"/>
      <c r="FD334" s="6"/>
      <c r="FE334" s="6"/>
      <c r="FF334" s="6"/>
      <c r="FG334" s="6"/>
      <c r="FH334" s="6"/>
      <c r="FI334" s="6"/>
      <c r="FJ334" s="6"/>
    </row>
    <row r="335" spans="1:166"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6"/>
      <c r="EH335" s="6"/>
      <c r="EI335" s="6"/>
      <c r="EJ335" s="6"/>
      <c r="EK335" s="6"/>
      <c r="EL335" s="6"/>
      <c r="EM335" s="6"/>
      <c r="EN335" s="6"/>
      <c r="EO335" s="6"/>
      <c r="EP335" s="6"/>
      <c r="EQ335" s="6"/>
      <c r="ER335" s="6"/>
      <c r="ES335" s="6"/>
      <c r="ET335" s="6"/>
      <c r="EU335" s="6"/>
      <c r="EV335" s="6"/>
      <c r="EW335" s="6"/>
      <c r="EX335" s="6"/>
      <c r="EY335" s="6"/>
      <c r="EZ335" s="6"/>
      <c r="FA335" s="6"/>
      <c r="FB335" s="6"/>
      <c r="FC335" s="6"/>
      <c r="FD335" s="6"/>
      <c r="FE335" s="6"/>
      <c r="FF335" s="6"/>
      <c r="FG335" s="6"/>
      <c r="FH335" s="6"/>
      <c r="FI335" s="6"/>
      <c r="FJ335" s="6"/>
    </row>
    <row r="336" spans="1:166"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c r="EE336" s="6"/>
      <c r="EF336" s="6"/>
      <c r="EG336" s="6"/>
      <c r="EH336" s="6"/>
      <c r="EI336" s="6"/>
      <c r="EJ336" s="6"/>
      <c r="EK336" s="6"/>
      <c r="EL336" s="6"/>
      <c r="EM336" s="6"/>
      <c r="EN336" s="6"/>
      <c r="EO336" s="6"/>
      <c r="EP336" s="6"/>
      <c r="EQ336" s="6"/>
      <c r="ER336" s="6"/>
      <c r="ES336" s="6"/>
      <c r="ET336" s="6"/>
      <c r="EU336" s="6"/>
      <c r="EV336" s="6"/>
      <c r="EW336" s="6"/>
      <c r="EX336" s="6"/>
      <c r="EY336" s="6"/>
      <c r="EZ336" s="6"/>
      <c r="FA336" s="6"/>
      <c r="FB336" s="6"/>
      <c r="FC336" s="6"/>
      <c r="FD336" s="6"/>
      <c r="FE336" s="6"/>
      <c r="FF336" s="6"/>
      <c r="FG336" s="6"/>
      <c r="FH336" s="6"/>
      <c r="FI336" s="6"/>
      <c r="FJ336" s="6"/>
    </row>
    <row r="337" spans="1:166"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c r="EE337" s="6"/>
      <c r="EF337" s="6"/>
      <c r="EG337" s="6"/>
      <c r="EH337" s="6"/>
      <c r="EI337" s="6"/>
      <c r="EJ337" s="6"/>
      <c r="EK337" s="6"/>
      <c r="EL337" s="6"/>
      <c r="EM337" s="6"/>
      <c r="EN337" s="6"/>
      <c r="EO337" s="6"/>
      <c r="EP337" s="6"/>
      <c r="EQ337" s="6"/>
      <c r="ER337" s="6"/>
      <c r="ES337" s="6"/>
      <c r="ET337" s="6"/>
      <c r="EU337" s="6"/>
      <c r="EV337" s="6"/>
      <c r="EW337" s="6"/>
      <c r="EX337" s="6"/>
      <c r="EY337" s="6"/>
      <c r="EZ337" s="6"/>
      <c r="FA337" s="6"/>
      <c r="FB337" s="6"/>
      <c r="FC337" s="6"/>
      <c r="FD337" s="6"/>
      <c r="FE337" s="6"/>
      <c r="FF337" s="6"/>
      <c r="FG337" s="6"/>
      <c r="FH337" s="6"/>
      <c r="FI337" s="6"/>
      <c r="FJ337" s="6"/>
    </row>
    <row r="338" spans="1:166"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c r="EN338" s="6"/>
      <c r="EO338" s="6"/>
      <c r="EP338" s="6"/>
      <c r="EQ338" s="6"/>
      <c r="ER338" s="6"/>
      <c r="ES338" s="6"/>
      <c r="ET338" s="6"/>
      <c r="EU338" s="6"/>
      <c r="EV338" s="6"/>
      <c r="EW338" s="6"/>
      <c r="EX338" s="6"/>
      <c r="EY338" s="6"/>
      <c r="EZ338" s="6"/>
      <c r="FA338" s="6"/>
      <c r="FB338" s="6"/>
      <c r="FC338" s="6"/>
      <c r="FD338" s="6"/>
      <c r="FE338" s="6"/>
      <c r="FF338" s="6"/>
      <c r="FG338" s="6"/>
      <c r="FH338" s="6"/>
      <c r="FI338" s="6"/>
      <c r="FJ338" s="6"/>
    </row>
    <row r="339" spans="1:166"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6"/>
      <c r="EH339" s="6"/>
      <c r="EI339" s="6"/>
      <c r="EJ339" s="6"/>
      <c r="EK339" s="6"/>
      <c r="EL339" s="6"/>
      <c r="EM339" s="6"/>
      <c r="EN339" s="6"/>
      <c r="EO339" s="6"/>
      <c r="EP339" s="6"/>
      <c r="EQ339" s="6"/>
      <c r="ER339" s="6"/>
      <c r="ES339" s="6"/>
      <c r="ET339" s="6"/>
      <c r="EU339" s="6"/>
      <c r="EV339" s="6"/>
      <c r="EW339" s="6"/>
      <c r="EX339" s="6"/>
      <c r="EY339" s="6"/>
      <c r="EZ339" s="6"/>
      <c r="FA339" s="6"/>
      <c r="FB339" s="6"/>
      <c r="FC339" s="6"/>
      <c r="FD339" s="6"/>
      <c r="FE339" s="6"/>
      <c r="FF339" s="6"/>
      <c r="FG339" s="6"/>
      <c r="FH339" s="6"/>
      <c r="FI339" s="6"/>
      <c r="FJ339" s="6"/>
    </row>
    <row r="340" spans="1:166"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6"/>
      <c r="EH340" s="6"/>
      <c r="EI340" s="6"/>
      <c r="EJ340" s="6"/>
      <c r="EK340" s="6"/>
      <c r="EL340" s="6"/>
      <c r="EM340" s="6"/>
      <c r="EN340" s="6"/>
      <c r="EO340" s="6"/>
      <c r="EP340" s="6"/>
      <c r="EQ340" s="6"/>
      <c r="ER340" s="6"/>
      <c r="ES340" s="6"/>
      <c r="ET340" s="6"/>
      <c r="EU340" s="6"/>
      <c r="EV340" s="6"/>
      <c r="EW340" s="6"/>
      <c r="EX340" s="6"/>
      <c r="EY340" s="6"/>
      <c r="EZ340" s="6"/>
      <c r="FA340" s="6"/>
      <c r="FB340" s="6"/>
      <c r="FC340" s="6"/>
      <c r="FD340" s="6"/>
      <c r="FE340" s="6"/>
      <c r="FF340" s="6"/>
      <c r="FG340" s="6"/>
      <c r="FH340" s="6"/>
      <c r="FI340" s="6"/>
      <c r="FJ340" s="6"/>
    </row>
    <row r="341" spans="1:166"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c r="EE341" s="6"/>
      <c r="EF341" s="6"/>
      <c r="EG341" s="6"/>
      <c r="EH341" s="6"/>
      <c r="EI341" s="6"/>
      <c r="EJ341" s="6"/>
      <c r="EK341" s="6"/>
      <c r="EL341" s="6"/>
      <c r="EM341" s="6"/>
      <c r="EN341" s="6"/>
      <c r="EO341" s="6"/>
      <c r="EP341" s="6"/>
      <c r="EQ341" s="6"/>
      <c r="ER341" s="6"/>
      <c r="ES341" s="6"/>
      <c r="ET341" s="6"/>
      <c r="EU341" s="6"/>
      <c r="EV341" s="6"/>
      <c r="EW341" s="6"/>
      <c r="EX341" s="6"/>
      <c r="EY341" s="6"/>
      <c r="EZ341" s="6"/>
      <c r="FA341" s="6"/>
      <c r="FB341" s="6"/>
      <c r="FC341" s="6"/>
      <c r="FD341" s="6"/>
      <c r="FE341" s="6"/>
      <c r="FF341" s="6"/>
      <c r="FG341" s="6"/>
      <c r="FH341" s="6"/>
      <c r="FI341" s="6"/>
      <c r="FJ341" s="6"/>
    </row>
    <row r="342" spans="1:166"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c r="EE342" s="6"/>
      <c r="EF342" s="6"/>
      <c r="EG342" s="6"/>
      <c r="EH342" s="6"/>
      <c r="EI342" s="6"/>
      <c r="EJ342" s="6"/>
      <c r="EK342" s="6"/>
      <c r="EL342" s="6"/>
      <c r="EM342" s="6"/>
      <c r="EN342" s="6"/>
      <c r="EO342" s="6"/>
      <c r="EP342" s="6"/>
      <c r="EQ342" s="6"/>
      <c r="ER342" s="6"/>
      <c r="ES342" s="6"/>
      <c r="ET342" s="6"/>
      <c r="EU342" s="6"/>
      <c r="EV342" s="6"/>
      <c r="EW342" s="6"/>
      <c r="EX342" s="6"/>
      <c r="EY342" s="6"/>
      <c r="EZ342" s="6"/>
      <c r="FA342" s="6"/>
      <c r="FB342" s="6"/>
      <c r="FC342" s="6"/>
      <c r="FD342" s="6"/>
      <c r="FE342" s="6"/>
      <c r="FF342" s="6"/>
      <c r="FG342" s="6"/>
      <c r="FH342" s="6"/>
      <c r="FI342" s="6"/>
      <c r="FJ342" s="6"/>
    </row>
    <row r="343" spans="1:166"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6"/>
      <c r="EH343" s="6"/>
      <c r="EI343" s="6"/>
      <c r="EJ343" s="6"/>
      <c r="EK343" s="6"/>
      <c r="EL343" s="6"/>
      <c r="EM343" s="6"/>
      <c r="EN343" s="6"/>
      <c r="EO343" s="6"/>
      <c r="EP343" s="6"/>
      <c r="EQ343" s="6"/>
      <c r="ER343" s="6"/>
      <c r="ES343" s="6"/>
      <c r="ET343" s="6"/>
      <c r="EU343" s="6"/>
      <c r="EV343" s="6"/>
      <c r="EW343" s="6"/>
      <c r="EX343" s="6"/>
      <c r="EY343" s="6"/>
      <c r="EZ343" s="6"/>
      <c r="FA343" s="6"/>
      <c r="FB343" s="6"/>
      <c r="FC343" s="6"/>
      <c r="FD343" s="6"/>
      <c r="FE343" s="6"/>
      <c r="FF343" s="6"/>
      <c r="FG343" s="6"/>
      <c r="FH343" s="6"/>
      <c r="FI343" s="6"/>
      <c r="FJ343" s="6"/>
    </row>
    <row r="344" spans="1:166"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6"/>
      <c r="EX344" s="6"/>
      <c r="EY344" s="6"/>
      <c r="EZ344" s="6"/>
      <c r="FA344" s="6"/>
      <c r="FB344" s="6"/>
      <c r="FC344" s="6"/>
      <c r="FD344" s="6"/>
      <c r="FE344" s="6"/>
      <c r="FF344" s="6"/>
      <c r="FG344" s="6"/>
      <c r="FH344" s="6"/>
      <c r="FI344" s="6"/>
      <c r="FJ344" s="6"/>
    </row>
    <row r="345" spans="1:166"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6"/>
      <c r="EX345" s="6"/>
      <c r="EY345" s="6"/>
      <c r="EZ345" s="6"/>
      <c r="FA345" s="6"/>
      <c r="FB345" s="6"/>
      <c r="FC345" s="6"/>
      <c r="FD345" s="6"/>
      <c r="FE345" s="6"/>
      <c r="FF345" s="6"/>
      <c r="FG345" s="6"/>
      <c r="FH345" s="6"/>
      <c r="FI345" s="6"/>
      <c r="FJ345" s="6"/>
    </row>
    <row r="346" spans="1:166"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X346" s="6"/>
      <c r="EY346" s="6"/>
      <c r="EZ346" s="6"/>
      <c r="FA346" s="6"/>
      <c r="FB346" s="6"/>
      <c r="FC346" s="6"/>
      <c r="FD346" s="6"/>
      <c r="FE346" s="6"/>
      <c r="FF346" s="6"/>
      <c r="FG346" s="6"/>
      <c r="FH346" s="6"/>
      <c r="FI346" s="6"/>
      <c r="FJ346" s="6"/>
    </row>
    <row r="347" spans="1:166"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6"/>
      <c r="EX347" s="6"/>
      <c r="EY347" s="6"/>
      <c r="EZ347" s="6"/>
      <c r="FA347" s="6"/>
      <c r="FB347" s="6"/>
      <c r="FC347" s="6"/>
      <c r="FD347" s="6"/>
      <c r="FE347" s="6"/>
      <c r="FF347" s="6"/>
      <c r="FG347" s="6"/>
      <c r="FH347" s="6"/>
      <c r="FI347" s="6"/>
      <c r="FJ347" s="6"/>
    </row>
    <row r="348" spans="1:166"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6"/>
      <c r="EX348" s="6"/>
      <c r="EY348" s="6"/>
      <c r="EZ348" s="6"/>
      <c r="FA348" s="6"/>
      <c r="FB348" s="6"/>
      <c r="FC348" s="6"/>
      <c r="FD348" s="6"/>
      <c r="FE348" s="6"/>
      <c r="FF348" s="6"/>
      <c r="FG348" s="6"/>
      <c r="FH348" s="6"/>
      <c r="FI348" s="6"/>
      <c r="FJ348" s="6"/>
    </row>
    <row r="349" spans="1:166"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6"/>
      <c r="EX349" s="6"/>
      <c r="EY349" s="6"/>
      <c r="EZ349" s="6"/>
      <c r="FA349" s="6"/>
      <c r="FB349" s="6"/>
      <c r="FC349" s="6"/>
      <c r="FD349" s="6"/>
      <c r="FE349" s="6"/>
      <c r="FF349" s="6"/>
      <c r="FG349" s="6"/>
      <c r="FH349" s="6"/>
      <c r="FI349" s="6"/>
      <c r="FJ349" s="6"/>
    </row>
    <row r="350" spans="1:166"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6"/>
      <c r="EX350" s="6"/>
      <c r="EY350" s="6"/>
      <c r="EZ350" s="6"/>
      <c r="FA350" s="6"/>
      <c r="FB350" s="6"/>
      <c r="FC350" s="6"/>
      <c r="FD350" s="6"/>
      <c r="FE350" s="6"/>
      <c r="FF350" s="6"/>
      <c r="FG350" s="6"/>
      <c r="FH350" s="6"/>
      <c r="FI350" s="6"/>
      <c r="FJ350" s="6"/>
    </row>
    <row r="351" spans="1:166"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6"/>
      <c r="EZ351" s="6"/>
      <c r="FA351" s="6"/>
      <c r="FB351" s="6"/>
      <c r="FC351" s="6"/>
      <c r="FD351" s="6"/>
      <c r="FE351" s="6"/>
      <c r="FF351" s="6"/>
      <c r="FG351" s="6"/>
      <c r="FH351" s="6"/>
      <c r="FI351" s="6"/>
      <c r="FJ351" s="6"/>
    </row>
    <row r="352" spans="1:166"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6"/>
      <c r="EZ352" s="6"/>
      <c r="FA352" s="6"/>
      <c r="FB352" s="6"/>
      <c r="FC352" s="6"/>
      <c r="FD352" s="6"/>
      <c r="FE352" s="6"/>
      <c r="FF352" s="6"/>
      <c r="FG352" s="6"/>
      <c r="FH352" s="6"/>
      <c r="FI352" s="6"/>
      <c r="FJ352" s="6"/>
    </row>
    <row r="353" spans="1:166"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6"/>
      <c r="EZ353" s="6"/>
      <c r="FA353" s="6"/>
      <c r="FB353" s="6"/>
      <c r="FC353" s="6"/>
      <c r="FD353" s="6"/>
      <c r="FE353" s="6"/>
      <c r="FF353" s="6"/>
      <c r="FG353" s="6"/>
      <c r="FH353" s="6"/>
      <c r="FI353" s="6"/>
      <c r="FJ353" s="6"/>
    </row>
    <row r="354" spans="1:166"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6"/>
      <c r="EZ354" s="6"/>
      <c r="FA354" s="6"/>
      <c r="FB354" s="6"/>
      <c r="FC354" s="6"/>
      <c r="FD354" s="6"/>
      <c r="FE354" s="6"/>
      <c r="FF354" s="6"/>
      <c r="FG354" s="6"/>
      <c r="FH354" s="6"/>
      <c r="FI354" s="6"/>
      <c r="FJ354" s="6"/>
    </row>
    <row r="355" spans="1:166"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6"/>
      <c r="EZ355" s="6"/>
      <c r="FA355" s="6"/>
      <c r="FB355" s="6"/>
      <c r="FC355" s="6"/>
      <c r="FD355" s="6"/>
      <c r="FE355" s="6"/>
      <c r="FF355" s="6"/>
      <c r="FG355" s="6"/>
      <c r="FH355" s="6"/>
      <c r="FI355" s="6"/>
      <c r="FJ355" s="6"/>
    </row>
    <row r="356" spans="1:166"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6"/>
      <c r="EZ356" s="6"/>
      <c r="FA356" s="6"/>
      <c r="FB356" s="6"/>
      <c r="FC356" s="6"/>
      <c r="FD356" s="6"/>
      <c r="FE356" s="6"/>
      <c r="FF356" s="6"/>
      <c r="FG356" s="6"/>
      <c r="FH356" s="6"/>
      <c r="FI356" s="6"/>
      <c r="FJ356" s="6"/>
    </row>
    <row r="357" spans="1:166"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6"/>
      <c r="EZ357" s="6"/>
      <c r="FA357" s="6"/>
      <c r="FB357" s="6"/>
      <c r="FC357" s="6"/>
      <c r="FD357" s="6"/>
      <c r="FE357" s="6"/>
      <c r="FF357" s="6"/>
      <c r="FG357" s="6"/>
      <c r="FH357" s="6"/>
      <c r="FI357" s="6"/>
      <c r="FJ357" s="6"/>
    </row>
    <row r="358" spans="1:166"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6"/>
      <c r="EZ358" s="6"/>
      <c r="FA358" s="6"/>
      <c r="FB358" s="6"/>
      <c r="FC358" s="6"/>
      <c r="FD358" s="6"/>
      <c r="FE358" s="6"/>
      <c r="FF358" s="6"/>
      <c r="FG358" s="6"/>
      <c r="FH358" s="6"/>
      <c r="FI358" s="6"/>
      <c r="FJ358" s="6"/>
    </row>
    <row r="359" spans="1:166"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c r="EN359" s="6"/>
      <c r="EO359" s="6"/>
      <c r="EP359" s="6"/>
      <c r="EQ359" s="6"/>
      <c r="ER359" s="6"/>
      <c r="ES359" s="6"/>
      <c r="ET359" s="6"/>
      <c r="EU359" s="6"/>
      <c r="EV359" s="6"/>
      <c r="EW359" s="6"/>
      <c r="EX359" s="6"/>
      <c r="EY359" s="6"/>
      <c r="EZ359" s="6"/>
      <c r="FA359" s="6"/>
      <c r="FB359" s="6"/>
      <c r="FC359" s="6"/>
      <c r="FD359" s="6"/>
      <c r="FE359" s="6"/>
      <c r="FF359" s="6"/>
      <c r="FG359" s="6"/>
      <c r="FH359" s="6"/>
      <c r="FI359" s="6"/>
      <c r="FJ359" s="6"/>
    </row>
    <row r="360" spans="1:166"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c r="DJ360" s="6"/>
      <c r="DK360" s="6"/>
      <c r="DL360" s="6"/>
      <c r="DM360" s="6"/>
      <c r="DN360" s="6"/>
      <c r="DO360" s="6"/>
      <c r="DP360" s="6"/>
      <c r="DQ360" s="6"/>
      <c r="DR360" s="6"/>
      <c r="DS360" s="6"/>
      <c r="DT360" s="6"/>
      <c r="DU360" s="6"/>
      <c r="DV360" s="6"/>
      <c r="DW360" s="6"/>
      <c r="DX360" s="6"/>
      <c r="DY360" s="6"/>
      <c r="DZ360" s="6"/>
      <c r="EA360" s="6"/>
      <c r="EB360" s="6"/>
      <c r="EC360" s="6"/>
      <c r="ED360" s="6"/>
      <c r="EE360" s="6"/>
      <c r="EF360" s="6"/>
      <c r="EG360" s="6"/>
      <c r="EH360" s="6"/>
      <c r="EI360" s="6"/>
      <c r="EJ360" s="6"/>
      <c r="EK360" s="6"/>
      <c r="EL360" s="6"/>
      <c r="EM360" s="6"/>
      <c r="EN360" s="6"/>
      <c r="EO360" s="6"/>
      <c r="EP360" s="6"/>
      <c r="EQ360" s="6"/>
      <c r="ER360" s="6"/>
      <c r="ES360" s="6"/>
      <c r="ET360" s="6"/>
      <c r="EU360" s="6"/>
      <c r="EV360" s="6"/>
      <c r="EW360" s="6"/>
      <c r="EX360" s="6"/>
      <c r="EY360" s="6"/>
      <c r="EZ360" s="6"/>
      <c r="FA360" s="6"/>
      <c r="FB360" s="6"/>
      <c r="FC360" s="6"/>
      <c r="FD360" s="6"/>
      <c r="FE360" s="6"/>
      <c r="FF360" s="6"/>
      <c r="FG360" s="6"/>
      <c r="FH360" s="6"/>
      <c r="FI360" s="6"/>
      <c r="FJ360" s="6"/>
    </row>
    <row r="361" spans="1:166"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c r="EN361" s="6"/>
      <c r="EO361" s="6"/>
      <c r="EP361" s="6"/>
      <c r="EQ361" s="6"/>
      <c r="ER361" s="6"/>
      <c r="ES361" s="6"/>
      <c r="ET361" s="6"/>
      <c r="EU361" s="6"/>
      <c r="EV361" s="6"/>
      <c r="EW361" s="6"/>
      <c r="EX361" s="6"/>
      <c r="EY361" s="6"/>
      <c r="EZ361" s="6"/>
      <c r="FA361" s="6"/>
      <c r="FB361" s="6"/>
      <c r="FC361" s="6"/>
      <c r="FD361" s="6"/>
      <c r="FE361" s="6"/>
      <c r="FF361" s="6"/>
      <c r="FG361" s="6"/>
      <c r="FH361" s="6"/>
      <c r="FI361" s="6"/>
      <c r="FJ361" s="6"/>
    </row>
    <row r="362" spans="1:166"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c r="DJ362" s="6"/>
      <c r="DK362" s="6"/>
      <c r="DL362" s="6"/>
      <c r="DM362" s="6"/>
      <c r="DN362" s="6"/>
      <c r="DO362" s="6"/>
      <c r="DP362" s="6"/>
      <c r="DQ362" s="6"/>
      <c r="DR362" s="6"/>
      <c r="DS362" s="6"/>
      <c r="DT362" s="6"/>
      <c r="DU362" s="6"/>
      <c r="DV362" s="6"/>
      <c r="DW362" s="6"/>
      <c r="DX362" s="6"/>
      <c r="DY362" s="6"/>
      <c r="DZ362" s="6"/>
      <c r="EA362" s="6"/>
      <c r="EB362" s="6"/>
      <c r="EC362" s="6"/>
      <c r="ED362" s="6"/>
      <c r="EE362" s="6"/>
      <c r="EF362" s="6"/>
      <c r="EG362" s="6"/>
      <c r="EH362" s="6"/>
      <c r="EI362" s="6"/>
      <c r="EJ362" s="6"/>
      <c r="EK362" s="6"/>
      <c r="EL362" s="6"/>
      <c r="EM362" s="6"/>
      <c r="EN362" s="6"/>
      <c r="EO362" s="6"/>
      <c r="EP362" s="6"/>
      <c r="EQ362" s="6"/>
      <c r="ER362" s="6"/>
      <c r="ES362" s="6"/>
      <c r="ET362" s="6"/>
      <c r="EU362" s="6"/>
      <c r="EV362" s="6"/>
      <c r="EW362" s="6"/>
      <c r="EX362" s="6"/>
      <c r="EY362" s="6"/>
      <c r="EZ362" s="6"/>
      <c r="FA362" s="6"/>
      <c r="FB362" s="6"/>
      <c r="FC362" s="6"/>
      <c r="FD362" s="6"/>
      <c r="FE362" s="6"/>
      <c r="FF362" s="6"/>
      <c r="FG362" s="6"/>
      <c r="FH362" s="6"/>
      <c r="FI362" s="6"/>
      <c r="FJ362" s="6"/>
    </row>
    <row r="363" spans="1:166"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c r="CV363" s="6"/>
      <c r="CW363" s="6"/>
      <c r="CX363" s="6"/>
      <c r="CY363" s="6"/>
      <c r="CZ363" s="6"/>
      <c r="DA363" s="6"/>
      <c r="DB363" s="6"/>
      <c r="DC363" s="6"/>
      <c r="DD363" s="6"/>
      <c r="DE363" s="6"/>
      <c r="DF363" s="6"/>
      <c r="DG363" s="6"/>
      <c r="DH363" s="6"/>
      <c r="DI363" s="6"/>
      <c r="DJ363" s="6"/>
      <c r="DK363" s="6"/>
      <c r="DL363" s="6"/>
      <c r="DM363" s="6"/>
      <c r="DN363" s="6"/>
      <c r="DO363" s="6"/>
      <c r="DP363" s="6"/>
      <c r="DQ363" s="6"/>
      <c r="DR363" s="6"/>
      <c r="DS363" s="6"/>
      <c r="DT363" s="6"/>
      <c r="DU363" s="6"/>
      <c r="DV363" s="6"/>
      <c r="DW363" s="6"/>
      <c r="DX363" s="6"/>
      <c r="DY363" s="6"/>
      <c r="DZ363" s="6"/>
      <c r="EA363" s="6"/>
      <c r="EB363" s="6"/>
      <c r="EC363" s="6"/>
      <c r="ED363" s="6"/>
      <c r="EE363" s="6"/>
      <c r="EF363" s="6"/>
      <c r="EG363" s="6"/>
      <c r="EH363" s="6"/>
      <c r="EI363" s="6"/>
      <c r="EJ363" s="6"/>
      <c r="EK363" s="6"/>
      <c r="EL363" s="6"/>
      <c r="EM363" s="6"/>
      <c r="EN363" s="6"/>
      <c r="EO363" s="6"/>
      <c r="EP363" s="6"/>
      <c r="EQ363" s="6"/>
      <c r="ER363" s="6"/>
      <c r="ES363" s="6"/>
      <c r="ET363" s="6"/>
      <c r="EU363" s="6"/>
      <c r="EV363" s="6"/>
      <c r="EW363" s="6"/>
      <c r="EX363" s="6"/>
      <c r="EY363" s="6"/>
      <c r="EZ363" s="6"/>
      <c r="FA363" s="6"/>
      <c r="FB363" s="6"/>
      <c r="FC363" s="6"/>
      <c r="FD363" s="6"/>
      <c r="FE363" s="6"/>
      <c r="FF363" s="6"/>
      <c r="FG363" s="6"/>
      <c r="FH363" s="6"/>
      <c r="FI363" s="6"/>
      <c r="FJ363" s="6"/>
    </row>
    <row r="364" spans="1:166"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c r="CV364" s="6"/>
      <c r="CW364" s="6"/>
      <c r="CX364" s="6"/>
      <c r="CY364" s="6"/>
      <c r="CZ364" s="6"/>
      <c r="DA364" s="6"/>
      <c r="DB364" s="6"/>
      <c r="DC364" s="6"/>
      <c r="DD364" s="6"/>
      <c r="DE364" s="6"/>
      <c r="DF364" s="6"/>
      <c r="DG364" s="6"/>
      <c r="DH364" s="6"/>
      <c r="DI364" s="6"/>
      <c r="DJ364" s="6"/>
      <c r="DK364" s="6"/>
      <c r="DL364" s="6"/>
      <c r="DM364" s="6"/>
      <c r="DN364" s="6"/>
      <c r="DO364" s="6"/>
      <c r="DP364" s="6"/>
      <c r="DQ364" s="6"/>
      <c r="DR364" s="6"/>
      <c r="DS364" s="6"/>
      <c r="DT364" s="6"/>
      <c r="DU364" s="6"/>
      <c r="DV364" s="6"/>
      <c r="DW364" s="6"/>
      <c r="DX364" s="6"/>
      <c r="DY364" s="6"/>
      <c r="DZ364" s="6"/>
      <c r="EA364" s="6"/>
      <c r="EB364" s="6"/>
      <c r="EC364" s="6"/>
      <c r="ED364" s="6"/>
      <c r="EE364" s="6"/>
      <c r="EF364" s="6"/>
      <c r="EG364" s="6"/>
      <c r="EH364" s="6"/>
      <c r="EI364" s="6"/>
      <c r="EJ364" s="6"/>
      <c r="EK364" s="6"/>
      <c r="EL364" s="6"/>
      <c r="EM364" s="6"/>
      <c r="EN364" s="6"/>
      <c r="EO364" s="6"/>
      <c r="EP364" s="6"/>
      <c r="EQ364" s="6"/>
      <c r="ER364" s="6"/>
      <c r="ES364" s="6"/>
      <c r="ET364" s="6"/>
      <c r="EU364" s="6"/>
      <c r="EV364" s="6"/>
      <c r="EW364" s="6"/>
      <c r="EX364" s="6"/>
      <c r="EY364" s="6"/>
      <c r="EZ364" s="6"/>
      <c r="FA364" s="6"/>
      <c r="FB364" s="6"/>
      <c r="FC364" s="6"/>
      <c r="FD364" s="6"/>
      <c r="FE364" s="6"/>
      <c r="FF364" s="6"/>
      <c r="FG364" s="6"/>
      <c r="FH364" s="6"/>
      <c r="FI364" s="6"/>
      <c r="FJ364" s="6"/>
    </row>
    <row r="365" spans="1:166"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c r="CV365" s="6"/>
      <c r="CW365" s="6"/>
      <c r="CX365" s="6"/>
      <c r="CY365" s="6"/>
      <c r="CZ365" s="6"/>
      <c r="DA365" s="6"/>
      <c r="DB365" s="6"/>
      <c r="DC365" s="6"/>
      <c r="DD365" s="6"/>
      <c r="DE365" s="6"/>
      <c r="DF365" s="6"/>
      <c r="DG365" s="6"/>
      <c r="DH365" s="6"/>
      <c r="DI365" s="6"/>
      <c r="DJ365" s="6"/>
      <c r="DK365" s="6"/>
      <c r="DL365" s="6"/>
      <c r="DM365" s="6"/>
      <c r="DN365" s="6"/>
      <c r="DO365" s="6"/>
      <c r="DP365" s="6"/>
      <c r="DQ365" s="6"/>
      <c r="DR365" s="6"/>
      <c r="DS365" s="6"/>
      <c r="DT365" s="6"/>
      <c r="DU365" s="6"/>
      <c r="DV365" s="6"/>
      <c r="DW365" s="6"/>
      <c r="DX365" s="6"/>
      <c r="DY365" s="6"/>
      <c r="DZ365" s="6"/>
      <c r="EA365" s="6"/>
      <c r="EB365" s="6"/>
      <c r="EC365" s="6"/>
      <c r="ED365" s="6"/>
      <c r="EE365" s="6"/>
      <c r="EF365" s="6"/>
      <c r="EG365" s="6"/>
      <c r="EH365" s="6"/>
      <c r="EI365" s="6"/>
      <c r="EJ365" s="6"/>
      <c r="EK365" s="6"/>
      <c r="EL365" s="6"/>
      <c r="EM365" s="6"/>
      <c r="EN365" s="6"/>
      <c r="EO365" s="6"/>
      <c r="EP365" s="6"/>
      <c r="EQ365" s="6"/>
      <c r="ER365" s="6"/>
      <c r="ES365" s="6"/>
      <c r="ET365" s="6"/>
      <c r="EU365" s="6"/>
      <c r="EV365" s="6"/>
      <c r="EW365" s="6"/>
      <c r="EX365" s="6"/>
      <c r="EY365" s="6"/>
      <c r="EZ365" s="6"/>
      <c r="FA365" s="6"/>
      <c r="FB365" s="6"/>
      <c r="FC365" s="6"/>
      <c r="FD365" s="6"/>
      <c r="FE365" s="6"/>
      <c r="FF365" s="6"/>
      <c r="FG365" s="6"/>
      <c r="FH365" s="6"/>
      <c r="FI365" s="6"/>
      <c r="FJ365" s="6"/>
    </row>
    <row r="366" spans="1:166"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c r="CV366" s="6"/>
      <c r="CW366" s="6"/>
      <c r="CX366" s="6"/>
      <c r="CY366" s="6"/>
      <c r="CZ366" s="6"/>
      <c r="DA366" s="6"/>
      <c r="DB366" s="6"/>
      <c r="DC366" s="6"/>
      <c r="DD366" s="6"/>
      <c r="DE366" s="6"/>
      <c r="DF366" s="6"/>
      <c r="DG366" s="6"/>
      <c r="DH366" s="6"/>
      <c r="DI366" s="6"/>
      <c r="DJ366" s="6"/>
      <c r="DK366" s="6"/>
      <c r="DL366" s="6"/>
      <c r="DM366" s="6"/>
      <c r="DN366" s="6"/>
      <c r="DO366" s="6"/>
      <c r="DP366" s="6"/>
      <c r="DQ366" s="6"/>
      <c r="DR366" s="6"/>
      <c r="DS366" s="6"/>
      <c r="DT366" s="6"/>
      <c r="DU366" s="6"/>
      <c r="DV366" s="6"/>
      <c r="DW366" s="6"/>
      <c r="DX366" s="6"/>
      <c r="DY366" s="6"/>
      <c r="DZ366" s="6"/>
      <c r="EA366" s="6"/>
      <c r="EB366" s="6"/>
      <c r="EC366" s="6"/>
      <c r="ED366" s="6"/>
      <c r="EE366" s="6"/>
      <c r="EF366" s="6"/>
      <c r="EG366" s="6"/>
      <c r="EH366" s="6"/>
      <c r="EI366" s="6"/>
      <c r="EJ366" s="6"/>
      <c r="EK366" s="6"/>
      <c r="EL366" s="6"/>
      <c r="EM366" s="6"/>
      <c r="EN366" s="6"/>
      <c r="EO366" s="6"/>
      <c r="EP366" s="6"/>
      <c r="EQ366" s="6"/>
      <c r="ER366" s="6"/>
      <c r="ES366" s="6"/>
      <c r="ET366" s="6"/>
      <c r="EU366" s="6"/>
      <c r="EV366" s="6"/>
      <c r="EW366" s="6"/>
      <c r="EX366" s="6"/>
      <c r="EY366" s="6"/>
      <c r="EZ366" s="6"/>
      <c r="FA366" s="6"/>
      <c r="FB366" s="6"/>
      <c r="FC366" s="6"/>
      <c r="FD366" s="6"/>
      <c r="FE366" s="6"/>
      <c r="FF366" s="6"/>
      <c r="FG366" s="6"/>
      <c r="FH366" s="6"/>
      <c r="FI366" s="6"/>
      <c r="FJ366" s="6"/>
    </row>
    <row r="367" spans="1:166"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c r="CV367" s="6"/>
      <c r="CW367" s="6"/>
      <c r="CX367" s="6"/>
      <c r="CY367" s="6"/>
      <c r="CZ367" s="6"/>
      <c r="DA367" s="6"/>
      <c r="DB367" s="6"/>
      <c r="DC367" s="6"/>
      <c r="DD367" s="6"/>
      <c r="DE367" s="6"/>
      <c r="DF367" s="6"/>
      <c r="DG367" s="6"/>
      <c r="DH367" s="6"/>
      <c r="DI367" s="6"/>
      <c r="DJ367" s="6"/>
      <c r="DK367" s="6"/>
      <c r="DL367" s="6"/>
      <c r="DM367" s="6"/>
      <c r="DN367" s="6"/>
      <c r="DO367" s="6"/>
      <c r="DP367" s="6"/>
      <c r="DQ367" s="6"/>
      <c r="DR367" s="6"/>
      <c r="DS367" s="6"/>
      <c r="DT367" s="6"/>
      <c r="DU367" s="6"/>
      <c r="DV367" s="6"/>
      <c r="DW367" s="6"/>
      <c r="DX367" s="6"/>
      <c r="DY367" s="6"/>
      <c r="DZ367" s="6"/>
      <c r="EA367" s="6"/>
      <c r="EB367" s="6"/>
      <c r="EC367" s="6"/>
      <c r="ED367" s="6"/>
      <c r="EE367" s="6"/>
      <c r="EF367" s="6"/>
      <c r="EG367" s="6"/>
      <c r="EH367" s="6"/>
      <c r="EI367" s="6"/>
      <c r="EJ367" s="6"/>
      <c r="EK367" s="6"/>
      <c r="EL367" s="6"/>
      <c r="EM367" s="6"/>
      <c r="EN367" s="6"/>
      <c r="EO367" s="6"/>
      <c r="EP367" s="6"/>
      <c r="EQ367" s="6"/>
      <c r="ER367" s="6"/>
      <c r="ES367" s="6"/>
      <c r="ET367" s="6"/>
      <c r="EU367" s="6"/>
      <c r="EV367" s="6"/>
      <c r="EW367" s="6"/>
      <c r="EX367" s="6"/>
      <c r="EY367" s="6"/>
      <c r="EZ367" s="6"/>
      <c r="FA367" s="6"/>
      <c r="FB367" s="6"/>
      <c r="FC367" s="6"/>
      <c r="FD367" s="6"/>
      <c r="FE367" s="6"/>
      <c r="FF367" s="6"/>
      <c r="FG367" s="6"/>
      <c r="FH367" s="6"/>
      <c r="FI367" s="6"/>
      <c r="FJ367" s="6"/>
    </row>
    <row r="368" spans="1:166"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c r="CP368" s="6"/>
      <c r="CQ368" s="6"/>
      <c r="CR368" s="6"/>
      <c r="CS368" s="6"/>
      <c r="CT368" s="6"/>
      <c r="CU368" s="6"/>
      <c r="CV368" s="6"/>
      <c r="CW368" s="6"/>
      <c r="CX368" s="6"/>
      <c r="CY368" s="6"/>
      <c r="CZ368" s="6"/>
      <c r="DA368" s="6"/>
      <c r="DB368" s="6"/>
      <c r="DC368" s="6"/>
      <c r="DD368" s="6"/>
      <c r="DE368" s="6"/>
      <c r="DF368" s="6"/>
      <c r="DG368" s="6"/>
      <c r="DH368" s="6"/>
      <c r="DI368" s="6"/>
      <c r="DJ368" s="6"/>
      <c r="DK368" s="6"/>
      <c r="DL368" s="6"/>
      <c r="DM368" s="6"/>
      <c r="DN368" s="6"/>
      <c r="DO368" s="6"/>
      <c r="DP368" s="6"/>
      <c r="DQ368" s="6"/>
      <c r="DR368" s="6"/>
      <c r="DS368" s="6"/>
      <c r="DT368" s="6"/>
      <c r="DU368" s="6"/>
      <c r="DV368" s="6"/>
      <c r="DW368" s="6"/>
      <c r="DX368" s="6"/>
      <c r="DY368" s="6"/>
      <c r="DZ368" s="6"/>
      <c r="EA368" s="6"/>
      <c r="EB368" s="6"/>
      <c r="EC368" s="6"/>
      <c r="ED368" s="6"/>
      <c r="EE368" s="6"/>
      <c r="EF368" s="6"/>
      <c r="EG368" s="6"/>
      <c r="EH368" s="6"/>
      <c r="EI368" s="6"/>
      <c r="EJ368" s="6"/>
      <c r="EK368" s="6"/>
      <c r="EL368" s="6"/>
      <c r="EM368" s="6"/>
      <c r="EN368" s="6"/>
      <c r="EO368" s="6"/>
      <c r="EP368" s="6"/>
      <c r="EQ368" s="6"/>
      <c r="ER368" s="6"/>
      <c r="ES368" s="6"/>
      <c r="ET368" s="6"/>
      <c r="EU368" s="6"/>
      <c r="EV368" s="6"/>
      <c r="EW368" s="6"/>
      <c r="EX368" s="6"/>
      <c r="EY368" s="6"/>
      <c r="EZ368" s="6"/>
      <c r="FA368" s="6"/>
      <c r="FB368" s="6"/>
      <c r="FC368" s="6"/>
      <c r="FD368" s="6"/>
      <c r="FE368" s="6"/>
      <c r="FF368" s="6"/>
      <c r="FG368" s="6"/>
      <c r="FH368" s="6"/>
      <c r="FI368" s="6"/>
      <c r="FJ368" s="6"/>
    </row>
    <row r="369" spans="1:166"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c r="CV369" s="6"/>
      <c r="CW369" s="6"/>
      <c r="CX369" s="6"/>
      <c r="CY369" s="6"/>
      <c r="CZ369" s="6"/>
      <c r="DA369" s="6"/>
      <c r="DB369" s="6"/>
      <c r="DC369" s="6"/>
      <c r="DD369" s="6"/>
      <c r="DE369" s="6"/>
      <c r="DF369" s="6"/>
      <c r="DG369" s="6"/>
      <c r="DH369" s="6"/>
      <c r="DI369" s="6"/>
      <c r="DJ369" s="6"/>
      <c r="DK369" s="6"/>
      <c r="DL369" s="6"/>
      <c r="DM369" s="6"/>
      <c r="DN369" s="6"/>
      <c r="DO369" s="6"/>
      <c r="DP369" s="6"/>
      <c r="DQ369" s="6"/>
      <c r="DR369" s="6"/>
      <c r="DS369" s="6"/>
      <c r="DT369" s="6"/>
      <c r="DU369" s="6"/>
      <c r="DV369" s="6"/>
      <c r="DW369" s="6"/>
      <c r="DX369" s="6"/>
      <c r="DY369" s="6"/>
      <c r="DZ369" s="6"/>
      <c r="EA369" s="6"/>
      <c r="EB369" s="6"/>
      <c r="EC369" s="6"/>
      <c r="ED369" s="6"/>
      <c r="EE369" s="6"/>
      <c r="EF369" s="6"/>
      <c r="EG369" s="6"/>
      <c r="EH369" s="6"/>
      <c r="EI369" s="6"/>
      <c r="EJ369" s="6"/>
      <c r="EK369" s="6"/>
      <c r="EL369" s="6"/>
      <c r="EM369" s="6"/>
      <c r="EN369" s="6"/>
      <c r="EO369" s="6"/>
      <c r="EP369" s="6"/>
      <c r="EQ369" s="6"/>
      <c r="ER369" s="6"/>
      <c r="ES369" s="6"/>
      <c r="ET369" s="6"/>
      <c r="EU369" s="6"/>
      <c r="EV369" s="6"/>
      <c r="EW369" s="6"/>
      <c r="EX369" s="6"/>
      <c r="EY369" s="6"/>
      <c r="EZ369" s="6"/>
      <c r="FA369" s="6"/>
      <c r="FB369" s="6"/>
      <c r="FC369" s="6"/>
      <c r="FD369" s="6"/>
      <c r="FE369" s="6"/>
      <c r="FF369" s="6"/>
      <c r="FG369" s="6"/>
      <c r="FH369" s="6"/>
      <c r="FI369" s="6"/>
      <c r="FJ369" s="6"/>
    </row>
    <row r="370" spans="1:166"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c r="CV370" s="6"/>
      <c r="CW370" s="6"/>
      <c r="CX370" s="6"/>
      <c r="CY370" s="6"/>
      <c r="CZ370" s="6"/>
      <c r="DA370" s="6"/>
      <c r="DB370" s="6"/>
      <c r="DC370" s="6"/>
      <c r="DD370" s="6"/>
      <c r="DE370" s="6"/>
      <c r="DF370" s="6"/>
      <c r="DG370" s="6"/>
      <c r="DH370" s="6"/>
      <c r="DI370" s="6"/>
      <c r="DJ370" s="6"/>
      <c r="DK370" s="6"/>
      <c r="DL370" s="6"/>
      <c r="DM370" s="6"/>
      <c r="DN370" s="6"/>
      <c r="DO370" s="6"/>
      <c r="DP370" s="6"/>
      <c r="DQ370" s="6"/>
      <c r="DR370" s="6"/>
      <c r="DS370" s="6"/>
      <c r="DT370" s="6"/>
      <c r="DU370" s="6"/>
      <c r="DV370" s="6"/>
      <c r="DW370" s="6"/>
      <c r="DX370" s="6"/>
      <c r="DY370" s="6"/>
      <c r="DZ370" s="6"/>
      <c r="EA370" s="6"/>
      <c r="EB370" s="6"/>
      <c r="EC370" s="6"/>
      <c r="ED370" s="6"/>
      <c r="EE370" s="6"/>
      <c r="EF370" s="6"/>
      <c r="EG370" s="6"/>
      <c r="EH370" s="6"/>
      <c r="EI370" s="6"/>
      <c r="EJ370" s="6"/>
      <c r="EK370" s="6"/>
      <c r="EL370" s="6"/>
      <c r="EM370" s="6"/>
      <c r="EN370" s="6"/>
      <c r="EO370" s="6"/>
      <c r="EP370" s="6"/>
      <c r="EQ370" s="6"/>
      <c r="ER370" s="6"/>
      <c r="ES370" s="6"/>
      <c r="ET370" s="6"/>
      <c r="EU370" s="6"/>
      <c r="EV370" s="6"/>
      <c r="EW370" s="6"/>
      <c r="EX370" s="6"/>
      <c r="EY370" s="6"/>
      <c r="EZ370" s="6"/>
      <c r="FA370" s="6"/>
      <c r="FB370" s="6"/>
      <c r="FC370" s="6"/>
      <c r="FD370" s="6"/>
      <c r="FE370" s="6"/>
      <c r="FF370" s="6"/>
      <c r="FG370" s="6"/>
      <c r="FH370" s="6"/>
      <c r="FI370" s="6"/>
      <c r="FJ370" s="6"/>
    </row>
    <row r="371" spans="1:166"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c r="CV371" s="6"/>
      <c r="CW371" s="6"/>
      <c r="CX371" s="6"/>
      <c r="CY371" s="6"/>
      <c r="CZ371" s="6"/>
      <c r="DA371" s="6"/>
      <c r="DB371" s="6"/>
      <c r="DC371" s="6"/>
      <c r="DD371" s="6"/>
      <c r="DE371" s="6"/>
      <c r="DF371" s="6"/>
      <c r="DG371" s="6"/>
      <c r="DH371" s="6"/>
      <c r="DI371" s="6"/>
      <c r="DJ371" s="6"/>
      <c r="DK371" s="6"/>
      <c r="DL371" s="6"/>
      <c r="DM371" s="6"/>
      <c r="DN371" s="6"/>
      <c r="DO371" s="6"/>
      <c r="DP371" s="6"/>
      <c r="DQ371" s="6"/>
      <c r="DR371" s="6"/>
      <c r="DS371" s="6"/>
      <c r="DT371" s="6"/>
      <c r="DU371" s="6"/>
      <c r="DV371" s="6"/>
      <c r="DW371" s="6"/>
      <c r="DX371" s="6"/>
      <c r="DY371" s="6"/>
      <c r="DZ371" s="6"/>
      <c r="EA371" s="6"/>
      <c r="EB371" s="6"/>
      <c r="EC371" s="6"/>
      <c r="ED371" s="6"/>
      <c r="EE371" s="6"/>
      <c r="EF371" s="6"/>
      <c r="EG371" s="6"/>
      <c r="EH371" s="6"/>
      <c r="EI371" s="6"/>
      <c r="EJ371" s="6"/>
      <c r="EK371" s="6"/>
      <c r="EL371" s="6"/>
      <c r="EM371" s="6"/>
      <c r="EN371" s="6"/>
      <c r="EO371" s="6"/>
      <c r="EP371" s="6"/>
      <c r="EQ371" s="6"/>
      <c r="ER371" s="6"/>
      <c r="ES371" s="6"/>
      <c r="ET371" s="6"/>
      <c r="EU371" s="6"/>
      <c r="EV371" s="6"/>
      <c r="EW371" s="6"/>
      <c r="EX371" s="6"/>
      <c r="EY371" s="6"/>
      <c r="EZ371" s="6"/>
      <c r="FA371" s="6"/>
      <c r="FB371" s="6"/>
      <c r="FC371" s="6"/>
      <c r="FD371" s="6"/>
      <c r="FE371" s="6"/>
      <c r="FF371" s="6"/>
      <c r="FG371" s="6"/>
      <c r="FH371" s="6"/>
      <c r="FI371" s="6"/>
      <c r="FJ371" s="6"/>
    </row>
    <row r="372" spans="1:166"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c r="CV372" s="6"/>
      <c r="CW372" s="6"/>
      <c r="CX372" s="6"/>
      <c r="CY372" s="6"/>
      <c r="CZ372" s="6"/>
      <c r="DA372" s="6"/>
      <c r="DB372" s="6"/>
      <c r="DC372" s="6"/>
      <c r="DD372" s="6"/>
      <c r="DE372" s="6"/>
      <c r="DF372" s="6"/>
      <c r="DG372" s="6"/>
      <c r="DH372" s="6"/>
      <c r="DI372" s="6"/>
      <c r="DJ372" s="6"/>
      <c r="DK372" s="6"/>
      <c r="DL372" s="6"/>
      <c r="DM372" s="6"/>
      <c r="DN372" s="6"/>
      <c r="DO372" s="6"/>
      <c r="DP372" s="6"/>
      <c r="DQ372" s="6"/>
      <c r="DR372" s="6"/>
      <c r="DS372" s="6"/>
      <c r="DT372" s="6"/>
      <c r="DU372" s="6"/>
      <c r="DV372" s="6"/>
      <c r="DW372" s="6"/>
      <c r="DX372" s="6"/>
      <c r="DY372" s="6"/>
      <c r="DZ372" s="6"/>
      <c r="EA372" s="6"/>
      <c r="EB372" s="6"/>
      <c r="EC372" s="6"/>
      <c r="ED372" s="6"/>
      <c r="EE372" s="6"/>
      <c r="EF372" s="6"/>
      <c r="EG372" s="6"/>
      <c r="EH372" s="6"/>
      <c r="EI372" s="6"/>
      <c r="EJ372" s="6"/>
      <c r="EK372" s="6"/>
      <c r="EL372" s="6"/>
      <c r="EM372" s="6"/>
      <c r="EN372" s="6"/>
      <c r="EO372" s="6"/>
      <c r="EP372" s="6"/>
      <c r="EQ372" s="6"/>
      <c r="ER372" s="6"/>
      <c r="ES372" s="6"/>
      <c r="ET372" s="6"/>
      <c r="EU372" s="6"/>
      <c r="EV372" s="6"/>
      <c r="EW372" s="6"/>
      <c r="EX372" s="6"/>
      <c r="EY372" s="6"/>
      <c r="EZ372" s="6"/>
      <c r="FA372" s="6"/>
      <c r="FB372" s="6"/>
      <c r="FC372" s="6"/>
      <c r="FD372" s="6"/>
      <c r="FE372" s="6"/>
      <c r="FF372" s="6"/>
      <c r="FG372" s="6"/>
      <c r="FH372" s="6"/>
      <c r="FI372" s="6"/>
      <c r="FJ372" s="6"/>
    </row>
    <row r="373" spans="1:166"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c r="CV373" s="6"/>
      <c r="CW373" s="6"/>
      <c r="CX373" s="6"/>
      <c r="CY373" s="6"/>
      <c r="CZ373" s="6"/>
      <c r="DA373" s="6"/>
      <c r="DB373" s="6"/>
      <c r="DC373" s="6"/>
      <c r="DD373" s="6"/>
      <c r="DE373" s="6"/>
      <c r="DF373" s="6"/>
      <c r="DG373" s="6"/>
      <c r="DH373" s="6"/>
      <c r="DI373" s="6"/>
      <c r="DJ373" s="6"/>
      <c r="DK373" s="6"/>
      <c r="DL373" s="6"/>
      <c r="DM373" s="6"/>
      <c r="DN373" s="6"/>
      <c r="DO373" s="6"/>
      <c r="DP373" s="6"/>
      <c r="DQ373" s="6"/>
      <c r="DR373" s="6"/>
      <c r="DS373" s="6"/>
      <c r="DT373" s="6"/>
      <c r="DU373" s="6"/>
      <c r="DV373" s="6"/>
      <c r="DW373" s="6"/>
      <c r="DX373" s="6"/>
      <c r="DY373" s="6"/>
      <c r="DZ373" s="6"/>
      <c r="EA373" s="6"/>
      <c r="EB373" s="6"/>
      <c r="EC373" s="6"/>
      <c r="ED373" s="6"/>
      <c r="EE373" s="6"/>
      <c r="EF373" s="6"/>
      <c r="EG373" s="6"/>
      <c r="EH373" s="6"/>
      <c r="EI373" s="6"/>
      <c r="EJ373" s="6"/>
      <c r="EK373" s="6"/>
      <c r="EL373" s="6"/>
      <c r="EM373" s="6"/>
      <c r="EN373" s="6"/>
      <c r="EO373" s="6"/>
      <c r="EP373" s="6"/>
      <c r="EQ373" s="6"/>
      <c r="ER373" s="6"/>
      <c r="ES373" s="6"/>
      <c r="ET373" s="6"/>
      <c r="EU373" s="6"/>
      <c r="EV373" s="6"/>
      <c r="EW373" s="6"/>
      <c r="EX373" s="6"/>
      <c r="EY373" s="6"/>
      <c r="EZ373" s="6"/>
      <c r="FA373" s="6"/>
      <c r="FB373" s="6"/>
      <c r="FC373" s="6"/>
      <c r="FD373" s="6"/>
      <c r="FE373" s="6"/>
      <c r="FF373" s="6"/>
      <c r="FG373" s="6"/>
      <c r="FH373" s="6"/>
      <c r="FI373" s="6"/>
      <c r="FJ373" s="6"/>
    </row>
    <row r="374" spans="1:166"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c r="CV374" s="6"/>
      <c r="CW374" s="6"/>
      <c r="CX374" s="6"/>
      <c r="CY374" s="6"/>
      <c r="CZ374" s="6"/>
      <c r="DA374" s="6"/>
      <c r="DB374" s="6"/>
      <c r="DC374" s="6"/>
      <c r="DD374" s="6"/>
      <c r="DE374" s="6"/>
      <c r="DF374" s="6"/>
      <c r="DG374" s="6"/>
      <c r="DH374" s="6"/>
      <c r="DI374" s="6"/>
      <c r="DJ374" s="6"/>
      <c r="DK374" s="6"/>
      <c r="DL374" s="6"/>
      <c r="DM374" s="6"/>
      <c r="DN374" s="6"/>
      <c r="DO374" s="6"/>
      <c r="DP374" s="6"/>
      <c r="DQ374" s="6"/>
      <c r="DR374" s="6"/>
      <c r="DS374" s="6"/>
      <c r="DT374" s="6"/>
      <c r="DU374" s="6"/>
      <c r="DV374" s="6"/>
      <c r="DW374" s="6"/>
      <c r="DX374" s="6"/>
      <c r="DY374" s="6"/>
      <c r="DZ374" s="6"/>
      <c r="EA374" s="6"/>
      <c r="EB374" s="6"/>
      <c r="EC374" s="6"/>
      <c r="ED374" s="6"/>
      <c r="EE374" s="6"/>
      <c r="EF374" s="6"/>
      <c r="EG374" s="6"/>
      <c r="EH374" s="6"/>
      <c r="EI374" s="6"/>
      <c r="EJ374" s="6"/>
      <c r="EK374" s="6"/>
      <c r="EL374" s="6"/>
      <c r="EM374" s="6"/>
      <c r="EN374" s="6"/>
      <c r="EO374" s="6"/>
      <c r="EP374" s="6"/>
      <c r="EQ374" s="6"/>
      <c r="ER374" s="6"/>
      <c r="ES374" s="6"/>
      <c r="ET374" s="6"/>
      <c r="EU374" s="6"/>
      <c r="EV374" s="6"/>
      <c r="EW374" s="6"/>
      <c r="EX374" s="6"/>
      <c r="EY374" s="6"/>
      <c r="EZ374" s="6"/>
      <c r="FA374" s="6"/>
      <c r="FB374" s="6"/>
      <c r="FC374" s="6"/>
      <c r="FD374" s="6"/>
      <c r="FE374" s="6"/>
      <c r="FF374" s="6"/>
      <c r="FG374" s="6"/>
      <c r="FH374" s="6"/>
      <c r="FI374" s="6"/>
      <c r="FJ374" s="6"/>
    </row>
    <row r="375" spans="1:166"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c r="CV375" s="6"/>
      <c r="CW375" s="6"/>
      <c r="CX375" s="6"/>
      <c r="CY375" s="6"/>
      <c r="CZ375" s="6"/>
      <c r="DA375" s="6"/>
      <c r="DB375" s="6"/>
      <c r="DC375" s="6"/>
      <c r="DD375" s="6"/>
      <c r="DE375" s="6"/>
      <c r="DF375" s="6"/>
      <c r="DG375" s="6"/>
      <c r="DH375" s="6"/>
      <c r="DI375" s="6"/>
      <c r="DJ375" s="6"/>
      <c r="DK375" s="6"/>
      <c r="DL375" s="6"/>
      <c r="DM375" s="6"/>
      <c r="DN375" s="6"/>
      <c r="DO375" s="6"/>
      <c r="DP375" s="6"/>
      <c r="DQ375" s="6"/>
      <c r="DR375" s="6"/>
      <c r="DS375" s="6"/>
      <c r="DT375" s="6"/>
      <c r="DU375" s="6"/>
      <c r="DV375" s="6"/>
      <c r="DW375" s="6"/>
      <c r="DX375" s="6"/>
      <c r="DY375" s="6"/>
      <c r="DZ375" s="6"/>
      <c r="EA375" s="6"/>
      <c r="EB375" s="6"/>
      <c r="EC375" s="6"/>
      <c r="ED375" s="6"/>
      <c r="EE375" s="6"/>
      <c r="EF375" s="6"/>
      <c r="EG375" s="6"/>
      <c r="EH375" s="6"/>
      <c r="EI375" s="6"/>
      <c r="EJ375" s="6"/>
      <c r="EK375" s="6"/>
      <c r="EL375" s="6"/>
      <c r="EM375" s="6"/>
      <c r="EN375" s="6"/>
      <c r="EO375" s="6"/>
      <c r="EP375" s="6"/>
      <c r="EQ375" s="6"/>
      <c r="ER375" s="6"/>
      <c r="ES375" s="6"/>
      <c r="ET375" s="6"/>
      <c r="EU375" s="6"/>
      <c r="EV375" s="6"/>
      <c r="EW375" s="6"/>
      <c r="EX375" s="6"/>
      <c r="EY375" s="6"/>
      <c r="EZ375" s="6"/>
      <c r="FA375" s="6"/>
      <c r="FB375" s="6"/>
      <c r="FC375" s="6"/>
      <c r="FD375" s="6"/>
      <c r="FE375" s="6"/>
      <c r="FF375" s="6"/>
      <c r="FG375" s="6"/>
      <c r="FH375" s="6"/>
      <c r="FI375" s="6"/>
      <c r="FJ375" s="6"/>
    </row>
    <row r="376" spans="1:166"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c r="CV376" s="6"/>
      <c r="CW376" s="6"/>
      <c r="CX376" s="6"/>
      <c r="CY376" s="6"/>
      <c r="CZ376" s="6"/>
      <c r="DA376" s="6"/>
      <c r="DB376" s="6"/>
      <c r="DC376" s="6"/>
      <c r="DD376" s="6"/>
      <c r="DE376" s="6"/>
      <c r="DF376" s="6"/>
      <c r="DG376" s="6"/>
      <c r="DH376" s="6"/>
      <c r="DI376" s="6"/>
      <c r="DJ376" s="6"/>
      <c r="DK376" s="6"/>
      <c r="DL376" s="6"/>
      <c r="DM376" s="6"/>
      <c r="DN376" s="6"/>
      <c r="DO376" s="6"/>
      <c r="DP376" s="6"/>
      <c r="DQ376" s="6"/>
      <c r="DR376" s="6"/>
      <c r="DS376" s="6"/>
      <c r="DT376" s="6"/>
      <c r="DU376" s="6"/>
      <c r="DV376" s="6"/>
      <c r="DW376" s="6"/>
      <c r="DX376" s="6"/>
      <c r="DY376" s="6"/>
      <c r="DZ376" s="6"/>
      <c r="EA376" s="6"/>
      <c r="EB376" s="6"/>
      <c r="EC376" s="6"/>
      <c r="ED376" s="6"/>
      <c r="EE376" s="6"/>
      <c r="EF376" s="6"/>
      <c r="EG376" s="6"/>
      <c r="EH376" s="6"/>
      <c r="EI376" s="6"/>
      <c r="EJ376" s="6"/>
      <c r="EK376" s="6"/>
      <c r="EL376" s="6"/>
      <c r="EM376" s="6"/>
      <c r="EN376" s="6"/>
      <c r="EO376" s="6"/>
      <c r="EP376" s="6"/>
      <c r="EQ376" s="6"/>
      <c r="ER376" s="6"/>
      <c r="ES376" s="6"/>
      <c r="ET376" s="6"/>
      <c r="EU376" s="6"/>
      <c r="EV376" s="6"/>
      <c r="EW376" s="6"/>
      <c r="EX376" s="6"/>
      <c r="EY376" s="6"/>
      <c r="EZ376" s="6"/>
      <c r="FA376" s="6"/>
      <c r="FB376" s="6"/>
      <c r="FC376" s="6"/>
      <c r="FD376" s="6"/>
      <c r="FE376" s="6"/>
      <c r="FF376" s="6"/>
      <c r="FG376" s="6"/>
      <c r="FH376" s="6"/>
      <c r="FI376" s="6"/>
      <c r="FJ376" s="6"/>
    </row>
    <row r="377" spans="1:166"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c r="CV377" s="6"/>
      <c r="CW377" s="6"/>
      <c r="CX377" s="6"/>
      <c r="CY377" s="6"/>
      <c r="CZ377" s="6"/>
      <c r="DA377" s="6"/>
      <c r="DB377" s="6"/>
      <c r="DC377" s="6"/>
      <c r="DD377" s="6"/>
      <c r="DE377" s="6"/>
      <c r="DF377" s="6"/>
      <c r="DG377" s="6"/>
      <c r="DH377" s="6"/>
      <c r="DI377" s="6"/>
      <c r="DJ377" s="6"/>
      <c r="DK377" s="6"/>
      <c r="DL377" s="6"/>
      <c r="DM377" s="6"/>
      <c r="DN377" s="6"/>
      <c r="DO377" s="6"/>
      <c r="DP377" s="6"/>
      <c r="DQ377" s="6"/>
      <c r="DR377" s="6"/>
      <c r="DS377" s="6"/>
      <c r="DT377" s="6"/>
      <c r="DU377" s="6"/>
      <c r="DV377" s="6"/>
      <c r="DW377" s="6"/>
      <c r="DX377" s="6"/>
      <c r="DY377" s="6"/>
      <c r="DZ377" s="6"/>
      <c r="EA377" s="6"/>
      <c r="EB377" s="6"/>
      <c r="EC377" s="6"/>
      <c r="ED377" s="6"/>
      <c r="EE377" s="6"/>
      <c r="EF377" s="6"/>
      <c r="EG377" s="6"/>
      <c r="EH377" s="6"/>
      <c r="EI377" s="6"/>
      <c r="EJ377" s="6"/>
      <c r="EK377" s="6"/>
      <c r="EL377" s="6"/>
      <c r="EM377" s="6"/>
      <c r="EN377" s="6"/>
      <c r="EO377" s="6"/>
      <c r="EP377" s="6"/>
      <c r="EQ377" s="6"/>
      <c r="ER377" s="6"/>
      <c r="ES377" s="6"/>
      <c r="ET377" s="6"/>
      <c r="EU377" s="6"/>
      <c r="EV377" s="6"/>
      <c r="EW377" s="6"/>
      <c r="EX377" s="6"/>
      <c r="EY377" s="6"/>
      <c r="EZ377" s="6"/>
      <c r="FA377" s="6"/>
      <c r="FB377" s="6"/>
      <c r="FC377" s="6"/>
      <c r="FD377" s="6"/>
      <c r="FE377" s="6"/>
      <c r="FF377" s="6"/>
      <c r="FG377" s="6"/>
      <c r="FH377" s="6"/>
      <c r="FI377" s="6"/>
      <c r="FJ377" s="6"/>
    </row>
    <row r="378" spans="1:166"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c r="CV378" s="6"/>
      <c r="CW378" s="6"/>
      <c r="CX378" s="6"/>
      <c r="CY378" s="6"/>
      <c r="CZ378" s="6"/>
      <c r="DA378" s="6"/>
      <c r="DB378" s="6"/>
      <c r="DC378" s="6"/>
      <c r="DD378" s="6"/>
      <c r="DE378" s="6"/>
      <c r="DF378" s="6"/>
      <c r="DG378" s="6"/>
      <c r="DH378" s="6"/>
      <c r="DI378" s="6"/>
      <c r="DJ378" s="6"/>
      <c r="DK378" s="6"/>
      <c r="DL378" s="6"/>
      <c r="DM378" s="6"/>
      <c r="DN378" s="6"/>
      <c r="DO378" s="6"/>
      <c r="DP378" s="6"/>
      <c r="DQ378" s="6"/>
      <c r="DR378" s="6"/>
      <c r="DS378" s="6"/>
      <c r="DT378" s="6"/>
      <c r="DU378" s="6"/>
      <c r="DV378" s="6"/>
      <c r="DW378" s="6"/>
      <c r="DX378" s="6"/>
      <c r="DY378" s="6"/>
      <c r="DZ378" s="6"/>
      <c r="EA378" s="6"/>
      <c r="EB378" s="6"/>
      <c r="EC378" s="6"/>
      <c r="ED378" s="6"/>
      <c r="EE378" s="6"/>
      <c r="EF378" s="6"/>
      <c r="EG378" s="6"/>
      <c r="EH378" s="6"/>
      <c r="EI378" s="6"/>
      <c r="EJ378" s="6"/>
      <c r="EK378" s="6"/>
      <c r="EL378" s="6"/>
      <c r="EM378" s="6"/>
      <c r="EN378" s="6"/>
      <c r="EO378" s="6"/>
      <c r="EP378" s="6"/>
      <c r="EQ378" s="6"/>
      <c r="ER378" s="6"/>
      <c r="ES378" s="6"/>
      <c r="ET378" s="6"/>
      <c r="EU378" s="6"/>
      <c r="EV378" s="6"/>
      <c r="EW378" s="6"/>
      <c r="EX378" s="6"/>
      <c r="EY378" s="6"/>
      <c r="EZ378" s="6"/>
      <c r="FA378" s="6"/>
      <c r="FB378" s="6"/>
      <c r="FC378" s="6"/>
      <c r="FD378" s="6"/>
      <c r="FE378" s="6"/>
      <c r="FF378" s="6"/>
      <c r="FG378" s="6"/>
      <c r="FH378" s="6"/>
      <c r="FI378" s="6"/>
      <c r="FJ378" s="6"/>
    </row>
    <row r="379" spans="1:166"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c r="CV379" s="6"/>
      <c r="CW379" s="6"/>
      <c r="CX379" s="6"/>
      <c r="CY379" s="6"/>
      <c r="CZ379" s="6"/>
      <c r="DA379" s="6"/>
      <c r="DB379" s="6"/>
      <c r="DC379" s="6"/>
      <c r="DD379" s="6"/>
      <c r="DE379" s="6"/>
      <c r="DF379" s="6"/>
      <c r="DG379" s="6"/>
      <c r="DH379" s="6"/>
      <c r="DI379" s="6"/>
      <c r="DJ379" s="6"/>
      <c r="DK379" s="6"/>
      <c r="DL379" s="6"/>
      <c r="DM379" s="6"/>
      <c r="DN379" s="6"/>
      <c r="DO379" s="6"/>
      <c r="DP379" s="6"/>
      <c r="DQ379" s="6"/>
      <c r="DR379" s="6"/>
      <c r="DS379" s="6"/>
      <c r="DT379" s="6"/>
      <c r="DU379" s="6"/>
      <c r="DV379" s="6"/>
      <c r="DW379" s="6"/>
      <c r="DX379" s="6"/>
      <c r="DY379" s="6"/>
      <c r="DZ379" s="6"/>
      <c r="EA379" s="6"/>
      <c r="EB379" s="6"/>
      <c r="EC379" s="6"/>
      <c r="ED379" s="6"/>
      <c r="EE379" s="6"/>
      <c r="EF379" s="6"/>
      <c r="EG379" s="6"/>
      <c r="EH379" s="6"/>
      <c r="EI379" s="6"/>
      <c r="EJ379" s="6"/>
      <c r="EK379" s="6"/>
      <c r="EL379" s="6"/>
      <c r="EM379" s="6"/>
      <c r="EN379" s="6"/>
      <c r="EO379" s="6"/>
      <c r="EP379" s="6"/>
      <c r="EQ379" s="6"/>
      <c r="ER379" s="6"/>
      <c r="ES379" s="6"/>
      <c r="ET379" s="6"/>
      <c r="EU379" s="6"/>
      <c r="EV379" s="6"/>
      <c r="EW379" s="6"/>
      <c r="EX379" s="6"/>
      <c r="EY379" s="6"/>
      <c r="EZ379" s="6"/>
      <c r="FA379" s="6"/>
      <c r="FB379" s="6"/>
      <c r="FC379" s="6"/>
      <c r="FD379" s="6"/>
      <c r="FE379" s="6"/>
      <c r="FF379" s="6"/>
      <c r="FG379" s="6"/>
      <c r="FH379" s="6"/>
      <c r="FI379" s="6"/>
      <c r="FJ379" s="6"/>
    </row>
    <row r="380" spans="1:166"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c r="CV380" s="6"/>
      <c r="CW380" s="6"/>
      <c r="CX380" s="6"/>
      <c r="CY380" s="6"/>
      <c r="CZ380" s="6"/>
      <c r="DA380" s="6"/>
      <c r="DB380" s="6"/>
      <c r="DC380" s="6"/>
      <c r="DD380" s="6"/>
      <c r="DE380" s="6"/>
      <c r="DF380" s="6"/>
      <c r="DG380" s="6"/>
      <c r="DH380" s="6"/>
      <c r="DI380" s="6"/>
      <c r="DJ380" s="6"/>
      <c r="DK380" s="6"/>
      <c r="DL380" s="6"/>
      <c r="DM380" s="6"/>
      <c r="DN380" s="6"/>
      <c r="DO380" s="6"/>
      <c r="DP380" s="6"/>
      <c r="DQ380" s="6"/>
      <c r="DR380" s="6"/>
      <c r="DS380" s="6"/>
      <c r="DT380" s="6"/>
      <c r="DU380" s="6"/>
      <c r="DV380" s="6"/>
      <c r="DW380" s="6"/>
      <c r="DX380" s="6"/>
      <c r="DY380" s="6"/>
      <c r="DZ380" s="6"/>
      <c r="EA380" s="6"/>
      <c r="EB380" s="6"/>
      <c r="EC380" s="6"/>
      <c r="ED380" s="6"/>
      <c r="EE380" s="6"/>
      <c r="EF380" s="6"/>
      <c r="EG380" s="6"/>
      <c r="EH380" s="6"/>
      <c r="EI380" s="6"/>
      <c r="EJ380" s="6"/>
      <c r="EK380" s="6"/>
      <c r="EL380" s="6"/>
      <c r="EM380" s="6"/>
      <c r="EN380" s="6"/>
      <c r="EO380" s="6"/>
      <c r="EP380" s="6"/>
      <c r="EQ380" s="6"/>
      <c r="ER380" s="6"/>
      <c r="ES380" s="6"/>
      <c r="ET380" s="6"/>
      <c r="EU380" s="6"/>
      <c r="EV380" s="6"/>
      <c r="EW380" s="6"/>
      <c r="EX380" s="6"/>
      <c r="EY380" s="6"/>
      <c r="EZ380" s="6"/>
      <c r="FA380" s="6"/>
      <c r="FB380" s="6"/>
      <c r="FC380" s="6"/>
      <c r="FD380" s="6"/>
      <c r="FE380" s="6"/>
      <c r="FF380" s="6"/>
      <c r="FG380" s="6"/>
      <c r="FH380" s="6"/>
      <c r="FI380" s="6"/>
      <c r="FJ380" s="6"/>
    </row>
    <row r="381" spans="1:166"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c r="CV381" s="6"/>
      <c r="CW381" s="6"/>
      <c r="CX381" s="6"/>
      <c r="CY381" s="6"/>
      <c r="CZ381" s="6"/>
      <c r="DA381" s="6"/>
      <c r="DB381" s="6"/>
      <c r="DC381" s="6"/>
      <c r="DD381" s="6"/>
      <c r="DE381" s="6"/>
      <c r="DF381" s="6"/>
      <c r="DG381" s="6"/>
      <c r="DH381" s="6"/>
      <c r="DI381" s="6"/>
      <c r="DJ381" s="6"/>
      <c r="DK381" s="6"/>
      <c r="DL381" s="6"/>
      <c r="DM381" s="6"/>
      <c r="DN381" s="6"/>
      <c r="DO381" s="6"/>
      <c r="DP381" s="6"/>
      <c r="DQ381" s="6"/>
      <c r="DR381" s="6"/>
      <c r="DS381" s="6"/>
      <c r="DT381" s="6"/>
      <c r="DU381" s="6"/>
      <c r="DV381" s="6"/>
      <c r="DW381" s="6"/>
      <c r="DX381" s="6"/>
      <c r="DY381" s="6"/>
      <c r="DZ381" s="6"/>
      <c r="EA381" s="6"/>
      <c r="EB381" s="6"/>
      <c r="EC381" s="6"/>
      <c r="ED381" s="6"/>
      <c r="EE381" s="6"/>
      <c r="EF381" s="6"/>
      <c r="EG381" s="6"/>
      <c r="EH381" s="6"/>
      <c r="EI381" s="6"/>
      <c r="EJ381" s="6"/>
      <c r="EK381" s="6"/>
      <c r="EL381" s="6"/>
      <c r="EM381" s="6"/>
      <c r="EN381" s="6"/>
      <c r="EO381" s="6"/>
      <c r="EP381" s="6"/>
      <c r="EQ381" s="6"/>
      <c r="ER381" s="6"/>
      <c r="ES381" s="6"/>
      <c r="ET381" s="6"/>
      <c r="EU381" s="6"/>
      <c r="EV381" s="6"/>
      <c r="EW381" s="6"/>
      <c r="EX381" s="6"/>
      <c r="EY381" s="6"/>
      <c r="EZ381" s="6"/>
      <c r="FA381" s="6"/>
      <c r="FB381" s="6"/>
      <c r="FC381" s="6"/>
      <c r="FD381" s="6"/>
      <c r="FE381" s="6"/>
      <c r="FF381" s="6"/>
      <c r="FG381" s="6"/>
      <c r="FH381" s="6"/>
      <c r="FI381" s="6"/>
      <c r="FJ381" s="6"/>
    </row>
    <row r="382" spans="1:166"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c r="CV382" s="6"/>
      <c r="CW382" s="6"/>
      <c r="CX382" s="6"/>
      <c r="CY382" s="6"/>
      <c r="CZ382" s="6"/>
      <c r="DA382" s="6"/>
      <c r="DB382" s="6"/>
      <c r="DC382" s="6"/>
      <c r="DD382" s="6"/>
      <c r="DE382" s="6"/>
      <c r="DF382" s="6"/>
      <c r="DG382" s="6"/>
      <c r="DH382" s="6"/>
      <c r="DI382" s="6"/>
      <c r="DJ382" s="6"/>
      <c r="DK382" s="6"/>
      <c r="DL382" s="6"/>
      <c r="DM382" s="6"/>
      <c r="DN382" s="6"/>
      <c r="DO382" s="6"/>
      <c r="DP382" s="6"/>
      <c r="DQ382" s="6"/>
      <c r="DR382" s="6"/>
      <c r="DS382" s="6"/>
      <c r="DT382" s="6"/>
      <c r="DU382" s="6"/>
      <c r="DV382" s="6"/>
      <c r="DW382" s="6"/>
      <c r="DX382" s="6"/>
      <c r="DY382" s="6"/>
      <c r="DZ382" s="6"/>
      <c r="EA382" s="6"/>
      <c r="EB382" s="6"/>
      <c r="EC382" s="6"/>
      <c r="ED382" s="6"/>
      <c r="EE382" s="6"/>
      <c r="EF382" s="6"/>
      <c r="EG382" s="6"/>
      <c r="EH382" s="6"/>
      <c r="EI382" s="6"/>
      <c r="EJ382" s="6"/>
      <c r="EK382" s="6"/>
      <c r="EL382" s="6"/>
      <c r="EM382" s="6"/>
      <c r="EN382" s="6"/>
      <c r="EO382" s="6"/>
      <c r="EP382" s="6"/>
      <c r="EQ382" s="6"/>
      <c r="ER382" s="6"/>
      <c r="ES382" s="6"/>
      <c r="ET382" s="6"/>
      <c r="EU382" s="6"/>
      <c r="EV382" s="6"/>
      <c r="EW382" s="6"/>
      <c r="EX382" s="6"/>
      <c r="EY382" s="6"/>
      <c r="EZ382" s="6"/>
      <c r="FA382" s="6"/>
      <c r="FB382" s="6"/>
      <c r="FC382" s="6"/>
      <c r="FD382" s="6"/>
      <c r="FE382" s="6"/>
      <c r="FF382" s="6"/>
      <c r="FG382" s="6"/>
      <c r="FH382" s="6"/>
      <c r="FI382" s="6"/>
      <c r="FJ382" s="6"/>
    </row>
    <row r="383" spans="1:166"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c r="CV383" s="6"/>
      <c r="CW383" s="6"/>
      <c r="CX383" s="6"/>
      <c r="CY383" s="6"/>
      <c r="CZ383" s="6"/>
      <c r="DA383" s="6"/>
      <c r="DB383" s="6"/>
      <c r="DC383" s="6"/>
      <c r="DD383" s="6"/>
      <c r="DE383" s="6"/>
      <c r="DF383" s="6"/>
      <c r="DG383" s="6"/>
      <c r="DH383" s="6"/>
      <c r="DI383" s="6"/>
      <c r="DJ383" s="6"/>
      <c r="DK383" s="6"/>
      <c r="DL383" s="6"/>
      <c r="DM383" s="6"/>
      <c r="DN383" s="6"/>
      <c r="DO383" s="6"/>
      <c r="DP383" s="6"/>
      <c r="DQ383" s="6"/>
      <c r="DR383" s="6"/>
      <c r="DS383" s="6"/>
      <c r="DT383" s="6"/>
      <c r="DU383" s="6"/>
      <c r="DV383" s="6"/>
      <c r="DW383" s="6"/>
      <c r="DX383" s="6"/>
      <c r="DY383" s="6"/>
      <c r="DZ383" s="6"/>
      <c r="EA383" s="6"/>
      <c r="EB383" s="6"/>
      <c r="EC383" s="6"/>
      <c r="ED383" s="6"/>
      <c r="EE383" s="6"/>
      <c r="EF383" s="6"/>
      <c r="EG383" s="6"/>
      <c r="EH383" s="6"/>
      <c r="EI383" s="6"/>
      <c r="EJ383" s="6"/>
      <c r="EK383" s="6"/>
      <c r="EL383" s="6"/>
      <c r="EM383" s="6"/>
      <c r="EN383" s="6"/>
      <c r="EO383" s="6"/>
      <c r="EP383" s="6"/>
      <c r="EQ383" s="6"/>
      <c r="ER383" s="6"/>
      <c r="ES383" s="6"/>
      <c r="ET383" s="6"/>
      <c r="EU383" s="6"/>
      <c r="EV383" s="6"/>
      <c r="EW383" s="6"/>
      <c r="EX383" s="6"/>
      <c r="EY383" s="6"/>
      <c r="EZ383" s="6"/>
      <c r="FA383" s="6"/>
      <c r="FB383" s="6"/>
      <c r="FC383" s="6"/>
      <c r="FD383" s="6"/>
      <c r="FE383" s="6"/>
      <c r="FF383" s="6"/>
      <c r="FG383" s="6"/>
      <c r="FH383" s="6"/>
      <c r="FI383" s="6"/>
      <c r="FJ383" s="6"/>
    </row>
    <row r="384" spans="1:166"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c r="CV384" s="6"/>
      <c r="CW384" s="6"/>
      <c r="CX384" s="6"/>
      <c r="CY384" s="6"/>
      <c r="CZ384" s="6"/>
      <c r="DA384" s="6"/>
      <c r="DB384" s="6"/>
      <c r="DC384" s="6"/>
      <c r="DD384" s="6"/>
      <c r="DE384" s="6"/>
      <c r="DF384" s="6"/>
      <c r="DG384" s="6"/>
      <c r="DH384" s="6"/>
      <c r="DI384" s="6"/>
      <c r="DJ384" s="6"/>
      <c r="DK384" s="6"/>
      <c r="DL384" s="6"/>
      <c r="DM384" s="6"/>
      <c r="DN384" s="6"/>
      <c r="DO384" s="6"/>
      <c r="DP384" s="6"/>
      <c r="DQ384" s="6"/>
      <c r="DR384" s="6"/>
      <c r="DS384" s="6"/>
      <c r="DT384" s="6"/>
      <c r="DU384" s="6"/>
      <c r="DV384" s="6"/>
      <c r="DW384" s="6"/>
      <c r="DX384" s="6"/>
      <c r="DY384" s="6"/>
      <c r="DZ384" s="6"/>
      <c r="EA384" s="6"/>
      <c r="EB384" s="6"/>
      <c r="EC384" s="6"/>
      <c r="ED384" s="6"/>
      <c r="EE384" s="6"/>
      <c r="EF384" s="6"/>
      <c r="EG384" s="6"/>
      <c r="EH384" s="6"/>
      <c r="EI384" s="6"/>
      <c r="EJ384" s="6"/>
      <c r="EK384" s="6"/>
      <c r="EL384" s="6"/>
      <c r="EM384" s="6"/>
      <c r="EN384" s="6"/>
      <c r="EO384" s="6"/>
      <c r="EP384" s="6"/>
      <c r="EQ384" s="6"/>
      <c r="ER384" s="6"/>
      <c r="ES384" s="6"/>
      <c r="ET384" s="6"/>
      <c r="EU384" s="6"/>
      <c r="EV384" s="6"/>
      <c r="EW384" s="6"/>
      <c r="EX384" s="6"/>
      <c r="EY384" s="6"/>
      <c r="EZ384" s="6"/>
      <c r="FA384" s="6"/>
      <c r="FB384" s="6"/>
      <c r="FC384" s="6"/>
      <c r="FD384" s="6"/>
      <c r="FE384" s="6"/>
      <c r="FF384" s="6"/>
      <c r="FG384" s="6"/>
      <c r="FH384" s="6"/>
      <c r="FI384" s="6"/>
      <c r="FJ384" s="6"/>
    </row>
    <row r="385" spans="1:166"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c r="CV385" s="6"/>
      <c r="CW385" s="6"/>
      <c r="CX385" s="6"/>
      <c r="CY385" s="6"/>
      <c r="CZ385" s="6"/>
      <c r="DA385" s="6"/>
      <c r="DB385" s="6"/>
      <c r="DC385" s="6"/>
      <c r="DD385" s="6"/>
      <c r="DE385" s="6"/>
      <c r="DF385" s="6"/>
      <c r="DG385" s="6"/>
      <c r="DH385" s="6"/>
      <c r="DI385" s="6"/>
      <c r="DJ385" s="6"/>
      <c r="DK385" s="6"/>
      <c r="DL385" s="6"/>
      <c r="DM385" s="6"/>
      <c r="DN385" s="6"/>
      <c r="DO385" s="6"/>
      <c r="DP385" s="6"/>
      <c r="DQ385" s="6"/>
      <c r="DR385" s="6"/>
      <c r="DS385" s="6"/>
      <c r="DT385" s="6"/>
      <c r="DU385" s="6"/>
      <c r="DV385" s="6"/>
      <c r="DW385" s="6"/>
      <c r="DX385" s="6"/>
      <c r="DY385" s="6"/>
      <c r="DZ385" s="6"/>
      <c r="EA385" s="6"/>
      <c r="EB385" s="6"/>
      <c r="EC385" s="6"/>
      <c r="ED385" s="6"/>
      <c r="EE385" s="6"/>
      <c r="EF385" s="6"/>
      <c r="EG385" s="6"/>
      <c r="EH385" s="6"/>
      <c r="EI385" s="6"/>
      <c r="EJ385" s="6"/>
      <c r="EK385" s="6"/>
      <c r="EL385" s="6"/>
      <c r="EM385" s="6"/>
      <c r="EN385" s="6"/>
      <c r="EO385" s="6"/>
      <c r="EP385" s="6"/>
      <c r="EQ385" s="6"/>
      <c r="ER385" s="6"/>
      <c r="ES385" s="6"/>
      <c r="ET385" s="6"/>
      <c r="EU385" s="6"/>
      <c r="EV385" s="6"/>
      <c r="EW385" s="6"/>
      <c r="EX385" s="6"/>
      <c r="EY385" s="6"/>
      <c r="EZ385" s="6"/>
      <c r="FA385" s="6"/>
      <c r="FB385" s="6"/>
      <c r="FC385" s="6"/>
      <c r="FD385" s="6"/>
      <c r="FE385" s="6"/>
      <c r="FF385" s="6"/>
      <c r="FG385" s="6"/>
      <c r="FH385" s="6"/>
      <c r="FI385" s="6"/>
      <c r="FJ385" s="6"/>
    </row>
    <row r="386" spans="1:166"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c r="CV386" s="6"/>
      <c r="CW386" s="6"/>
      <c r="CX386" s="6"/>
      <c r="CY386" s="6"/>
      <c r="CZ386" s="6"/>
      <c r="DA386" s="6"/>
      <c r="DB386" s="6"/>
      <c r="DC386" s="6"/>
      <c r="DD386" s="6"/>
      <c r="DE386" s="6"/>
      <c r="DF386" s="6"/>
      <c r="DG386" s="6"/>
      <c r="DH386" s="6"/>
      <c r="DI386" s="6"/>
      <c r="DJ386" s="6"/>
      <c r="DK386" s="6"/>
      <c r="DL386" s="6"/>
      <c r="DM386" s="6"/>
      <c r="DN386" s="6"/>
      <c r="DO386" s="6"/>
      <c r="DP386" s="6"/>
      <c r="DQ386" s="6"/>
      <c r="DR386" s="6"/>
      <c r="DS386" s="6"/>
      <c r="DT386" s="6"/>
      <c r="DU386" s="6"/>
      <c r="DV386" s="6"/>
      <c r="DW386" s="6"/>
      <c r="DX386" s="6"/>
      <c r="DY386" s="6"/>
      <c r="DZ386" s="6"/>
      <c r="EA386" s="6"/>
      <c r="EB386" s="6"/>
      <c r="EC386" s="6"/>
      <c r="ED386" s="6"/>
      <c r="EE386" s="6"/>
      <c r="EF386" s="6"/>
      <c r="EG386" s="6"/>
      <c r="EH386" s="6"/>
      <c r="EI386" s="6"/>
      <c r="EJ386" s="6"/>
      <c r="EK386" s="6"/>
      <c r="EL386" s="6"/>
      <c r="EM386" s="6"/>
      <c r="EN386" s="6"/>
      <c r="EO386" s="6"/>
      <c r="EP386" s="6"/>
      <c r="EQ386" s="6"/>
      <c r="ER386" s="6"/>
      <c r="ES386" s="6"/>
      <c r="ET386" s="6"/>
      <c r="EU386" s="6"/>
      <c r="EV386" s="6"/>
      <c r="EW386" s="6"/>
      <c r="EX386" s="6"/>
      <c r="EY386" s="6"/>
      <c r="EZ386" s="6"/>
      <c r="FA386" s="6"/>
      <c r="FB386" s="6"/>
      <c r="FC386" s="6"/>
      <c r="FD386" s="6"/>
      <c r="FE386" s="6"/>
      <c r="FF386" s="6"/>
      <c r="FG386" s="6"/>
      <c r="FH386" s="6"/>
      <c r="FI386" s="6"/>
      <c r="FJ386" s="6"/>
    </row>
    <row r="387" spans="1:166"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c r="CV387" s="6"/>
      <c r="CW387" s="6"/>
      <c r="CX387" s="6"/>
      <c r="CY387" s="6"/>
      <c r="CZ387" s="6"/>
      <c r="DA387" s="6"/>
      <c r="DB387" s="6"/>
      <c r="DC387" s="6"/>
      <c r="DD387" s="6"/>
      <c r="DE387" s="6"/>
      <c r="DF387" s="6"/>
      <c r="DG387" s="6"/>
      <c r="DH387" s="6"/>
      <c r="DI387" s="6"/>
      <c r="DJ387" s="6"/>
      <c r="DK387" s="6"/>
      <c r="DL387" s="6"/>
      <c r="DM387" s="6"/>
      <c r="DN387" s="6"/>
      <c r="DO387" s="6"/>
      <c r="DP387" s="6"/>
      <c r="DQ387" s="6"/>
      <c r="DR387" s="6"/>
      <c r="DS387" s="6"/>
      <c r="DT387" s="6"/>
      <c r="DU387" s="6"/>
      <c r="DV387" s="6"/>
      <c r="DW387" s="6"/>
      <c r="DX387" s="6"/>
      <c r="DY387" s="6"/>
      <c r="DZ387" s="6"/>
      <c r="EA387" s="6"/>
      <c r="EB387" s="6"/>
      <c r="EC387" s="6"/>
      <c r="ED387" s="6"/>
      <c r="EE387" s="6"/>
      <c r="EF387" s="6"/>
      <c r="EG387" s="6"/>
      <c r="EH387" s="6"/>
      <c r="EI387" s="6"/>
      <c r="EJ387" s="6"/>
      <c r="EK387" s="6"/>
      <c r="EL387" s="6"/>
      <c r="EM387" s="6"/>
      <c r="EN387" s="6"/>
      <c r="EO387" s="6"/>
      <c r="EP387" s="6"/>
      <c r="EQ387" s="6"/>
      <c r="ER387" s="6"/>
      <c r="ES387" s="6"/>
      <c r="ET387" s="6"/>
      <c r="EU387" s="6"/>
      <c r="EV387" s="6"/>
      <c r="EW387" s="6"/>
      <c r="EX387" s="6"/>
      <c r="EY387" s="6"/>
      <c r="EZ387" s="6"/>
      <c r="FA387" s="6"/>
      <c r="FB387" s="6"/>
      <c r="FC387" s="6"/>
      <c r="FD387" s="6"/>
      <c r="FE387" s="6"/>
      <c r="FF387" s="6"/>
      <c r="FG387" s="6"/>
      <c r="FH387" s="6"/>
      <c r="FI387" s="6"/>
      <c r="FJ387" s="6"/>
    </row>
    <row r="388" spans="1:166"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c r="CV388" s="6"/>
      <c r="CW388" s="6"/>
      <c r="CX388" s="6"/>
      <c r="CY388" s="6"/>
      <c r="CZ388" s="6"/>
      <c r="DA388" s="6"/>
      <c r="DB388" s="6"/>
      <c r="DC388" s="6"/>
      <c r="DD388" s="6"/>
      <c r="DE388" s="6"/>
      <c r="DF388" s="6"/>
      <c r="DG388" s="6"/>
      <c r="DH388" s="6"/>
      <c r="DI388" s="6"/>
      <c r="DJ388" s="6"/>
      <c r="DK388" s="6"/>
      <c r="DL388" s="6"/>
      <c r="DM388" s="6"/>
      <c r="DN388" s="6"/>
      <c r="DO388" s="6"/>
      <c r="DP388" s="6"/>
      <c r="DQ388" s="6"/>
      <c r="DR388" s="6"/>
      <c r="DS388" s="6"/>
      <c r="DT388" s="6"/>
      <c r="DU388" s="6"/>
      <c r="DV388" s="6"/>
      <c r="DW388" s="6"/>
      <c r="DX388" s="6"/>
      <c r="DY388" s="6"/>
      <c r="DZ388" s="6"/>
      <c r="EA388" s="6"/>
      <c r="EB388" s="6"/>
      <c r="EC388" s="6"/>
      <c r="ED388" s="6"/>
      <c r="EE388" s="6"/>
      <c r="EF388" s="6"/>
      <c r="EG388" s="6"/>
      <c r="EH388" s="6"/>
      <c r="EI388" s="6"/>
      <c r="EJ388" s="6"/>
      <c r="EK388" s="6"/>
      <c r="EL388" s="6"/>
      <c r="EM388" s="6"/>
      <c r="EN388" s="6"/>
      <c r="EO388" s="6"/>
      <c r="EP388" s="6"/>
      <c r="EQ388" s="6"/>
      <c r="ER388" s="6"/>
      <c r="ES388" s="6"/>
      <c r="ET388" s="6"/>
      <c r="EU388" s="6"/>
      <c r="EV388" s="6"/>
      <c r="EW388" s="6"/>
      <c r="EX388" s="6"/>
      <c r="EY388" s="6"/>
      <c r="EZ388" s="6"/>
      <c r="FA388" s="6"/>
      <c r="FB388" s="6"/>
      <c r="FC388" s="6"/>
      <c r="FD388" s="6"/>
      <c r="FE388" s="6"/>
      <c r="FF388" s="6"/>
      <c r="FG388" s="6"/>
      <c r="FH388" s="6"/>
      <c r="FI388" s="6"/>
      <c r="FJ388" s="6"/>
    </row>
    <row r="389" spans="1:166"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c r="CV389" s="6"/>
      <c r="CW389" s="6"/>
      <c r="CX389" s="6"/>
      <c r="CY389" s="6"/>
      <c r="CZ389" s="6"/>
      <c r="DA389" s="6"/>
      <c r="DB389" s="6"/>
      <c r="DC389" s="6"/>
      <c r="DD389" s="6"/>
      <c r="DE389" s="6"/>
      <c r="DF389" s="6"/>
      <c r="DG389" s="6"/>
      <c r="DH389" s="6"/>
      <c r="DI389" s="6"/>
      <c r="DJ389" s="6"/>
      <c r="DK389" s="6"/>
      <c r="DL389" s="6"/>
      <c r="DM389" s="6"/>
      <c r="DN389" s="6"/>
      <c r="DO389" s="6"/>
      <c r="DP389" s="6"/>
      <c r="DQ389" s="6"/>
      <c r="DR389" s="6"/>
      <c r="DS389" s="6"/>
      <c r="DT389" s="6"/>
      <c r="DU389" s="6"/>
      <c r="DV389" s="6"/>
      <c r="DW389" s="6"/>
      <c r="DX389" s="6"/>
      <c r="DY389" s="6"/>
      <c r="DZ389" s="6"/>
      <c r="EA389" s="6"/>
      <c r="EB389" s="6"/>
      <c r="EC389" s="6"/>
      <c r="ED389" s="6"/>
      <c r="EE389" s="6"/>
      <c r="EF389" s="6"/>
      <c r="EG389" s="6"/>
      <c r="EH389" s="6"/>
      <c r="EI389" s="6"/>
      <c r="EJ389" s="6"/>
      <c r="EK389" s="6"/>
      <c r="EL389" s="6"/>
      <c r="EM389" s="6"/>
      <c r="EN389" s="6"/>
      <c r="EO389" s="6"/>
      <c r="EP389" s="6"/>
      <c r="EQ389" s="6"/>
      <c r="ER389" s="6"/>
      <c r="ES389" s="6"/>
      <c r="ET389" s="6"/>
      <c r="EU389" s="6"/>
      <c r="EV389" s="6"/>
      <c r="EW389" s="6"/>
      <c r="EX389" s="6"/>
      <c r="EY389" s="6"/>
      <c r="EZ389" s="6"/>
      <c r="FA389" s="6"/>
      <c r="FB389" s="6"/>
      <c r="FC389" s="6"/>
      <c r="FD389" s="6"/>
      <c r="FE389" s="6"/>
      <c r="FF389" s="6"/>
      <c r="FG389" s="6"/>
      <c r="FH389" s="6"/>
      <c r="FI389" s="6"/>
      <c r="FJ389" s="6"/>
    </row>
    <row r="390" spans="1:166"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c r="CV390" s="6"/>
      <c r="CW390" s="6"/>
      <c r="CX390" s="6"/>
      <c r="CY390" s="6"/>
      <c r="CZ390" s="6"/>
      <c r="DA390" s="6"/>
      <c r="DB390" s="6"/>
      <c r="DC390" s="6"/>
      <c r="DD390" s="6"/>
      <c r="DE390" s="6"/>
      <c r="DF390" s="6"/>
      <c r="DG390" s="6"/>
      <c r="DH390" s="6"/>
      <c r="DI390" s="6"/>
      <c r="DJ390" s="6"/>
      <c r="DK390" s="6"/>
      <c r="DL390" s="6"/>
      <c r="DM390" s="6"/>
      <c r="DN390" s="6"/>
      <c r="DO390" s="6"/>
      <c r="DP390" s="6"/>
      <c r="DQ390" s="6"/>
      <c r="DR390" s="6"/>
      <c r="DS390" s="6"/>
      <c r="DT390" s="6"/>
      <c r="DU390" s="6"/>
      <c r="DV390" s="6"/>
      <c r="DW390" s="6"/>
      <c r="DX390" s="6"/>
      <c r="DY390" s="6"/>
      <c r="DZ390" s="6"/>
      <c r="EA390" s="6"/>
      <c r="EB390" s="6"/>
      <c r="EC390" s="6"/>
      <c r="ED390" s="6"/>
      <c r="EE390" s="6"/>
      <c r="EF390" s="6"/>
      <c r="EG390" s="6"/>
      <c r="EH390" s="6"/>
      <c r="EI390" s="6"/>
      <c r="EJ390" s="6"/>
      <c r="EK390" s="6"/>
      <c r="EL390" s="6"/>
      <c r="EM390" s="6"/>
      <c r="EN390" s="6"/>
      <c r="EO390" s="6"/>
      <c r="EP390" s="6"/>
      <c r="EQ390" s="6"/>
      <c r="ER390" s="6"/>
      <c r="ES390" s="6"/>
      <c r="ET390" s="6"/>
      <c r="EU390" s="6"/>
      <c r="EV390" s="6"/>
      <c r="EW390" s="6"/>
      <c r="EX390" s="6"/>
      <c r="EY390" s="6"/>
      <c r="EZ390" s="6"/>
      <c r="FA390" s="6"/>
      <c r="FB390" s="6"/>
      <c r="FC390" s="6"/>
      <c r="FD390" s="6"/>
      <c r="FE390" s="6"/>
      <c r="FF390" s="6"/>
      <c r="FG390" s="6"/>
      <c r="FH390" s="6"/>
      <c r="FI390" s="6"/>
      <c r="FJ390" s="6"/>
    </row>
    <row r="391" spans="1:166"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c r="CV391" s="6"/>
      <c r="CW391" s="6"/>
      <c r="CX391" s="6"/>
      <c r="CY391" s="6"/>
      <c r="CZ391" s="6"/>
      <c r="DA391" s="6"/>
      <c r="DB391" s="6"/>
      <c r="DC391" s="6"/>
      <c r="DD391" s="6"/>
      <c r="DE391" s="6"/>
      <c r="DF391" s="6"/>
      <c r="DG391" s="6"/>
      <c r="DH391" s="6"/>
      <c r="DI391" s="6"/>
      <c r="DJ391" s="6"/>
      <c r="DK391" s="6"/>
      <c r="DL391" s="6"/>
      <c r="DM391" s="6"/>
      <c r="DN391" s="6"/>
      <c r="DO391" s="6"/>
      <c r="DP391" s="6"/>
      <c r="DQ391" s="6"/>
      <c r="DR391" s="6"/>
      <c r="DS391" s="6"/>
      <c r="DT391" s="6"/>
      <c r="DU391" s="6"/>
      <c r="DV391" s="6"/>
      <c r="DW391" s="6"/>
      <c r="DX391" s="6"/>
      <c r="DY391" s="6"/>
      <c r="DZ391" s="6"/>
      <c r="EA391" s="6"/>
      <c r="EB391" s="6"/>
      <c r="EC391" s="6"/>
      <c r="ED391" s="6"/>
      <c r="EE391" s="6"/>
      <c r="EF391" s="6"/>
      <c r="EG391" s="6"/>
      <c r="EH391" s="6"/>
      <c r="EI391" s="6"/>
      <c r="EJ391" s="6"/>
      <c r="EK391" s="6"/>
      <c r="EL391" s="6"/>
      <c r="EM391" s="6"/>
      <c r="EN391" s="6"/>
      <c r="EO391" s="6"/>
      <c r="EP391" s="6"/>
      <c r="EQ391" s="6"/>
      <c r="ER391" s="6"/>
      <c r="ES391" s="6"/>
      <c r="ET391" s="6"/>
      <c r="EU391" s="6"/>
      <c r="EV391" s="6"/>
      <c r="EW391" s="6"/>
      <c r="EX391" s="6"/>
      <c r="EY391" s="6"/>
      <c r="EZ391" s="6"/>
      <c r="FA391" s="6"/>
      <c r="FB391" s="6"/>
      <c r="FC391" s="6"/>
      <c r="FD391" s="6"/>
      <c r="FE391" s="6"/>
      <c r="FF391" s="6"/>
      <c r="FG391" s="6"/>
      <c r="FH391" s="6"/>
      <c r="FI391" s="6"/>
      <c r="FJ391" s="6"/>
    </row>
    <row r="392" spans="1:166"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c r="CV392" s="6"/>
      <c r="CW392" s="6"/>
      <c r="CX392" s="6"/>
      <c r="CY392" s="6"/>
      <c r="CZ392" s="6"/>
      <c r="DA392" s="6"/>
      <c r="DB392" s="6"/>
      <c r="DC392" s="6"/>
      <c r="DD392" s="6"/>
      <c r="DE392" s="6"/>
      <c r="DF392" s="6"/>
      <c r="DG392" s="6"/>
      <c r="DH392" s="6"/>
      <c r="DI392" s="6"/>
      <c r="DJ392" s="6"/>
      <c r="DK392" s="6"/>
      <c r="DL392" s="6"/>
      <c r="DM392" s="6"/>
      <c r="DN392" s="6"/>
      <c r="DO392" s="6"/>
      <c r="DP392" s="6"/>
      <c r="DQ392" s="6"/>
      <c r="DR392" s="6"/>
      <c r="DS392" s="6"/>
      <c r="DT392" s="6"/>
      <c r="DU392" s="6"/>
      <c r="DV392" s="6"/>
      <c r="DW392" s="6"/>
      <c r="DX392" s="6"/>
      <c r="DY392" s="6"/>
      <c r="DZ392" s="6"/>
      <c r="EA392" s="6"/>
      <c r="EB392" s="6"/>
      <c r="EC392" s="6"/>
      <c r="ED392" s="6"/>
      <c r="EE392" s="6"/>
      <c r="EF392" s="6"/>
      <c r="EG392" s="6"/>
      <c r="EH392" s="6"/>
      <c r="EI392" s="6"/>
      <c r="EJ392" s="6"/>
      <c r="EK392" s="6"/>
      <c r="EL392" s="6"/>
      <c r="EM392" s="6"/>
      <c r="EN392" s="6"/>
      <c r="EO392" s="6"/>
      <c r="EP392" s="6"/>
      <c r="EQ392" s="6"/>
      <c r="ER392" s="6"/>
      <c r="ES392" s="6"/>
      <c r="ET392" s="6"/>
      <c r="EU392" s="6"/>
      <c r="EV392" s="6"/>
      <c r="EW392" s="6"/>
      <c r="EX392" s="6"/>
      <c r="EY392" s="6"/>
      <c r="EZ392" s="6"/>
      <c r="FA392" s="6"/>
      <c r="FB392" s="6"/>
      <c r="FC392" s="6"/>
      <c r="FD392" s="6"/>
      <c r="FE392" s="6"/>
      <c r="FF392" s="6"/>
      <c r="FG392" s="6"/>
      <c r="FH392" s="6"/>
      <c r="FI392" s="6"/>
      <c r="FJ392" s="6"/>
    </row>
    <row r="393" spans="1:166"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c r="CV393" s="6"/>
      <c r="CW393" s="6"/>
      <c r="CX393" s="6"/>
      <c r="CY393" s="6"/>
      <c r="CZ393" s="6"/>
      <c r="DA393" s="6"/>
      <c r="DB393" s="6"/>
      <c r="DC393" s="6"/>
      <c r="DD393" s="6"/>
      <c r="DE393" s="6"/>
      <c r="DF393" s="6"/>
      <c r="DG393" s="6"/>
      <c r="DH393" s="6"/>
      <c r="DI393" s="6"/>
      <c r="DJ393" s="6"/>
      <c r="DK393" s="6"/>
      <c r="DL393" s="6"/>
      <c r="DM393" s="6"/>
      <c r="DN393" s="6"/>
      <c r="DO393" s="6"/>
      <c r="DP393" s="6"/>
      <c r="DQ393" s="6"/>
      <c r="DR393" s="6"/>
      <c r="DS393" s="6"/>
      <c r="DT393" s="6"/>
      <c r="DU393" s="6"/>
      <c r="DV393" s="6"/>
      <c r="DW393" s="6"/>
      <c r="DX393" s="6"/>
      <c r="DY393" s="6"/>
      <c r="DZ393" s="6"/>
      <c r="EA393" s="6"/>
      <c r="EB393" s="6"/>
      <c r="EC393" s="6"/>
      <c r="ED393" s="6"/>
      <c r="EE393" s="6"/>
      <c r="EF393" s="6"/>
      <c r="EG393" s="6"/>
      <c r="EH393" s="6"/>
      <c r="EI393" s="6"/>
      <c r="EJ393" s="6"/>
      <c r="EK393" s="6"/>
      <c r="EL393" s="6"/>
      <c r="EM393" s="6"/>
      <c r="EN393" s="6"/>
      <c r="EO393" s="6"/>
      <c r="EP393" s="6"/>
      <c r="EQ393" s="6"/>
      <c r="ER393" s="6"/>
      <c r="ES393" s="6"/>
      <c r="ET393" s="6"/>
      <c r="EU393" s="6"/>
      <c r="EV393" s="6"/>
      <c r="EW393" s="6"/>
      <c r="EX393" s="6"/>
      <c r="EY393" s="6"/>
      <c r="EZ393" s="6"/>
      <c r="FA393" s="6"/>
      <c r="FB393" s="6"/>
      <c r="FC393" s="6"/>
      <c r="FD393" s="6"/>
      <c r="FE393" s="6"/>
      <c r="FF393" s="6"/>
      <c r="FG393" s="6"/>
      <c r="FH393" s="6"/>
      <c r="FI393" s="6"/>
      <c r="FJ393" s="6"/>
    </row>
    <row r="394" spans="1:166"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c r="CV394" s="6"/>
      <c r="CW394" s="6"/>
      <c r="CX394" s="6"/>
      <c r="CY394" s="6"/>
      <c r="CZ394" s="6"/>
      <c r="DA394" s="6"/>
      <c r="DB394" s="6"/>
      <c r="DC394" s="6"/>
      <c r="DD394" s="6"/>
      <c r="DE394" s="6"/>
      <c r="DF394" s="6"/>
      <c r="DG394" s="6"/>
      <c r="DH394" s="6"/>
      <c r="DI394" s="6"/>
      <c r="DJ394" s="6"/>
      <c r="DK394" s="6"/>
      <c r="DL394" s="6"/>
      <c r="DM394" s="6"/>
      <c r="DN394" s="6"/>
      <c r="DO394" s="6"/>
      <c r="DP394" s="6"/>
      <c r="DQ394" s="6"/>
      <c r="DR394" s="6"/>
      <c r="DS394" s="6"/>
      <c r="DT394" s="6"/>
      <c r="DU394" s="6"/>
      <c r="DV394" s="6"/>
      <c r="DW394" s="6"/>
      <c r="DX394" s="6"/>
      <c r="DY394" s="6"/>
      <c r="DZ394" s="6"/>
      <c r="EA394" s="6"/>
      <c r="EB394" s="6"/>
      <c r="EC394" s="6"/>
      <c r="ED394" s="6"/>
      <c r="EE394" s="6"/>
      <c r="EF394" s="6"/>
      <c r="EG394" s="6"/>
      <c r="EH394" s="6"/>
      <c r="EI394" s="6"/>
      <c r="EJ394" s="6"/>
      <c r="EK394" s="6"/>
      <c r="EL394" s="6"/>
      <c r="EM394" s="6"/>
      <c r="EN394" s="6"/>
      <c r="EO394" s="6"/>
      <c r="EP394" s="6"/>
      <c r="EQ394" s="6"/>
      <c r="ER394" s="6"/>
      <c r="ES394" s="6"/>
      <c r="ET394" s="6"/>
      <c r="EU394" s="6"/>
      <c r="EV394" s="6"/>
      <c r="EW394" s="6"/>
      <c r="EX394" s="6"/>
      <c r="EY394" s="6"/>
      <c r="EZ394" s="6"/>
      <c r="FA394" s="6"/>
      <c r="FB394" s="6"/>
      <c r="FC394" s="6"/>
      <c r="FD394" s="6"/>
      <c r="FE394" s="6"/>
      <c r="FF394" s="6"/>
      <c r="FG394" s="6"/>
      <c r="FH394" s="6"/>
      <c r="FI394" s="6"/>
      <c r="FJ394" s="6"/>
    </row>
    <row r="395" spans="1:166"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c r="CV395" s="6"/>
      <c r="CW395" s="6"/>
      <c r="CX395" s="6"/>
      <c r="CY395" s="6"/>
      <c r="CZ395" s="6"/>
      <c r="DA395" s="6"/>
      <c r="DB395" s="6"/>
      <c r="DC395" s="6"/>
      <c r="DD395" s="6"/>
      <c r="DE395" s="6"/>
      <c r="DF395" s="6"/>
      <c r="DG395" s="6"/>
      <c r="DH395" s="6"/>
      <c r="DI395" s="6"/>
      <c r="DJ395" s="6"/>
      <c r="DK395" s="6"/>
      <c r="DL395" s="6"/>
      <c r="DM395" s="6"/>
      <c r="DN395" s="6"/>
      <c r="DO395" s="6"/>
      <c r="DP395" s="6"/>
      <c r="DQ395" s="6"/>
      <c r="DR395" s="6"/>
      <c r="DS395" s="6"/>
      <c r="DT395" s="6"/>
      <c r="DU395" s="6"/>
      <c r="DV395" s="6"/>
      <c r="DW395" s="6"/>
      <c r="DX395" s="6"/>
      <c r="DY395" s="6"/>
      <c r="DZ395" s="6"/>
      <c r="EA395" s="6"/>
      <c r="EB395" s="6"/>
      <c r="EC395" s="6"/>
      <c r="ED395" s="6"/>
      <c r="EE395" s="6"/>
      <c r="EF395" s="6"/>
      <c r="EG395" s="6"/>
      <c r="EH395" s="6"/>
      <c r="EI395" s="6"/>
      <c r="EJ395" s="6"/>
      <c r="EK395" s="6"/>
      <c r="EL395" s="6"/>
      <c r="EM395" s="6"/>
      <c r="EN395" s="6"/>
      <c r="EO395" s="6"/>
      <c r="EP395" s="6"/>
      <c r="EQ395" s="6"/>
      <c r="ER395" s="6"/>
      <c r="ES395" s="6"/>
      <c r="ET395" s="6"/>
      <c r="EU395" s="6"/>
      <c r="EV395" s="6"/>
      <c r="EW395" s="6"/>
      <c r="EX395" s="6"/>
      <c r="EY395" s="6"/>
      <c r="EZ395" s="6"/>
      <c r="FA395" s="6"/>
      <c r="FB395" s="6"/>
      <c r="FC395" s="6"/>
      <c r="FD395" s="6"/>
      <c r="FE395" s="6"/>
      <c r="FF395" s="6"/>
      <c r="FG395" s="6"/>
      <c r="FH395" s="6"/>
      <c r="FI395" s="6"/>
      <c r="FJ395" s="6"/>
    </row>
    <row r="396" spans="1:166"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c r="CV396" s="6"/>
      <c r="CW396" s="6"/>
      <c r="CX396" s="6"/>
      <c r="CY396" s="6"/>
      <c r="CZ396" s="6"/>
      <c r="DA396" s="6"/>
      <c r="DB396" s="6"/>
      <c r="DC396" s="6"/>
      <c r="DD396" s="6"/>
      <c r="DE396" s="6"/>
      <c r="DF396" s="6"/>
      <c r="DG396" s="6"/>
      <c r="DH396" s="6"/>
      <c r="DI396" s="6"/>
      <c r="DJ396" s="6"/>
      <c r="DK396" s="6"/>
      <c r="DL396" s="6"/>
      <c r="DM396" s="6"/>
      <c r="DN396" s="6"/>
      <c r="DO396" s="6"/>
      <c r="DP396" s="6"/>
      <c r="DQ396" s="6"/>
      <c r="DR396" s="6"/>
      <c r="DS396" s="6"/>
      <c r="DT396" s="6"/>
      <c r="DU396" s="6"/>
      <c r="DV396" s="6"/>
      <c r="DW396" s="6"/>
      <c r="DX396" s="6"/>
      <c r="DY396" s="6"/>
      <c r="DZ396" s="6"/>
      <c r="EA396" s="6"/>
      <c r="EB396" s="6"/>
      <c r="EC396" s="6"/>
      <c r="ED396" s="6"/>
      <c r="EE396" s="6"/>
      <c r="EF396" s="6"/>
      <c r="EG396" s="6"/>
      <c r="EH396" s="6"/>
      <c r="EI396" s="6"/>
      <c r="EJ396" s="6"/>
      <c r="EK396" s="6"/>
      <c r="EL396" s="6"/>
      <c r="EM396" s="6"/>
      <c r="EN396" s="6"/>
      <c r="EO396" s="6"/>
      <c r="EP396" s="6"/>
      <c r="EQ396" s="6"/>
      <c r="ER396" s="6"/>
      <c r="ES396" s="6"/>
      <c r="ET396" s="6"/>
      <c r="EU396" s="6"/>
      <c r="EV396" s="6"/>
      <c r="EW396" s="6"/>
      <c r="EX396" s="6"/>
      <c r="EY396" s="6"/>
      <c r="EZ396" s="6"/>
      <c r="FA396" s="6"/>
      <c r="FB396" s="6"/>
      <c r="FC396" s="6"/>
      <c r="FD396" s="6"/>
      <c r="FE396" s="6"/>
      <c r="FF396" s="6"/>
      <c r="FG396" s="6"/>
      <c r="FH396" s="6"/>
      <c r="FI396" s="6"/>
      <c r="FJ396" s="6"/>
    </row>
    <row r="397" spans="1:166"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c r="CV397" s="6"/>
      <c r="CW397" s="6"/>
      <c r="CX397" s="6"/>
      <c r="CY397" s="6"/>
      <c r="CZ397" s="6"/>
      <c r="DA397" s="6"/>
      <c r="DB397" s="6"/>
      <c r="DC397" s="6"/>
      <c r="DD397" s="6"/>
      <c r="DE397" s="6"/>
      <c r="DF397" s="6"/>
      <c r="DG397" s="6"/>
      <c r="DH397" s="6"/>
      <c r="DI397" s="6"/>
      <c r="DJ397" s="6"/>
      <c r="DK397" s="6"/>
      <c r="DL397" s="6"/>
      <c r="DM397" s="6"/>
      <c r="DN397" s="6"/>
      <c r="DO397" s="6"/>
      <c r="DP397" s="6"/>
      <c r="DQ397" s="6"/>
      <c r="DR397" s="6"/>
      <c r="DS397" s="6"/>
      <c r="DT397" s="6"/>
      <c r="DU397" s="6"/>
      <c r="DV397" s="6"/>
      <c r="DW397" s="6"/>
      <c r="DX397" s="6"/>
      <c r="DY397" s="6"/>
      <c r="DZ397" s="6"/>
      <c r="EA397" s="6"/>
      <c r="EB397" s="6"/>
      <c r="EC397" s="6"/>
      <c r="ED397" s="6"/>
      <c r="EE397" s="6"/>
      <c r="EF397" s="6"/>
      <c r="EG397" s="6"/>
      <c r="EH397" s="6"/>
      <c r="EI397" s="6"/>
      <c r="EJ397" s="6"/>
      <c r="EK397" s="6"/>
      <c r="EL397" s="6"/>
      <c r="EM397" s="6"/>
      <c r="EN397" s="6"/>
      <c r="EO397" s="6"/>
      <c r="EP397" s="6"/>
      <c r="EQ397" s="6"/>
      <c r="ER397" s="6"/>
      <c r="ES397" s="6"/>
      <c r="ET397" s="6"/>
      <c r="EU397" s="6"/>
      <c r="EV397" s="6"/>
      <c r="EW397" s="6"/>
      <c r="EX397" s="6"/>
      <c r="EY397" s="6"/>
      <c r="EZ397" s="6"/>
      <c r="FA397" s="6"/>
      <c r="FB397" s="6"/>
      <c r="FC397" s="6"/>
      <c r="FD397" s="6"/>
      <c r="FE397" s="6"/>
      <c r="FF397" s="6"/>
      <c r="FG397" s="6"/>
      <c r="FH397" s="6"/>
      <c r="FI397" s="6"/>
      <c r="FJ397" s="6"/>
    </row>
    <row r="398" spans="1:166"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c r="CV398" s="6"/>
      <c r="CW398" s="6"/>
      <c r="CX398" s="6"/>
      <c r="CY398" s="6"/>
      <c r="CZ398" s="6"/>
      <c r="DA398" s="6"/>
      <c r="DB398" s="6"/>
      <c r="DC398" s="6"/>
      <c r="DD398" s="6"/>
      <c r="DE398" s="6"/>
      <c r="DF398" s="6"/>
      <c r="DG398" s="6"/>
      <c r="DH398" s="6"/>
      <c r="DI398" s="6"/>
      <c r="DJ398" s="6"/>
      <c r="DK398" s="6"/>
      <c r="DL398" s="6"/>
      <c r="DM398" s="6"/>
      <c r="DN398" s="6"/>
      <c r="DO398" s="6"/>
      <c r="DP398" s="6"/>
      <c r="DQ398" s="6"/>
      <c r="DR398" s="6"/>
      <c r="DS398" s="6"/>
      <c r="DT398" s="6"/>
      <c r="DU398" s="6"/>
      <c r="DV398" s="6"/>
      <c r="DW398" s="6"/>
      <c r="DX398" s="6"/>
      <c r="DY398" s="6"/>
      <c r="DZ398" s="6"/>
      <c r="EA398" s="6"/>
      <c r="EB398" s="6"/>
      <c r="EC398" s="6"/>
      <c r="ED398" s="6"/>
      <c r="EE398" s="6"/>
      <c r="EF398" s="6"/>
      <c r="EG398" s="6"/>
      <c r="EH398" s="6"/>
      <c r="EI398" s="6"/>
      <c r="EJ398" s="6"/>
      <c r="EK398" s="6"/>
      <c r="EL398" s="6"/>
      <c r="EM398" s="6"/>
      <c r="EN398" s="6"/>
      <c r="EO398" s="6"/>
      <c r="EP398" s="6"/>
      <c r="EQ398" s="6"/>
      <c r="ER398" s="6"/>
      <c r="ES398" s="6"/>
      <c r="ET398" s="6"/>
      <c r="EU398" s="6"/>
      <c r="EV398" s="6"/>
      <c r="EW398" s="6"/>
      <c r="EX398" s="6"/>
      <c r="EY398" s="6"/>
      <c r="EZ398" s="6"/>
      <c r="FA398" s="6"/>
      <c r="FB398" s="6"/>
      <c r="FC398" s="6"/>
      <c r="FD398" s="6"/>
      <c r="FE398" s="6"/>
      <c r="FF398" s="6"/>
      <c r="FG398" s="6"/>
      <c r="FH398" s="6"/>
      <c r="FI398" s="6"/>
      <c r="FJ398" s="6"/>
    </row>
    <row r="399" spans="1:166"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c r="CV399" s="6"/>
      <c r="CW399" s="6"/>
      <c r="CX399" s="6"/>
      <c r="CY399" s="6"/>
      <c r="CZ399" s="6"/>
      <c r="DA399" s="6"/>
      <c r="DB399" s="6"/>
      <c r="DC399" s="6"/>
      <c r="DD399" s="6"/>
      <c r="DE399" s="6"/>
      <c r="DF399" s="6"/>
      <c r="DG399" s="6"/>
      <c r="DH399" s="6"/>
      <c r="DI399" s="6"/>
      <c r="DJ399" s="6"/>
      <c r="DK399" s="6"/>
      <c r="DL399" s="6"/>
      <c r="DM399" s="6"/>
      <c r="DN399" s="6"/>
      <c r="DO399" s="6"/>
      <c r="DP399" s="6"/>
      <c r="DQ399" s="6"/>
      <c r="DR399" s="6"/>
      <c r="DS399" s="6"/>
      <c r="DT399" s="6"/>
      <c r="DU399" s="6"/>
      <c r="DV399" s="6"/>
      <c r="DW399" s="6"/>
      <c r="DX399" s="6"/>
      <c r="DY399" s="6"/>
      <c r="DZ399" s="6"/>
      <c r="EA399" s="6"/>
      <c r="EB399" s="6"/>
      <c r="EC399" s="6"/>
      <c r="ED399" s="6"/>
      <c r="EE399" s="6"/>
      <c r="EF399" s="6"/>
      <c r="EG399" s="6"/>
      <c r="EH399" s="6"/>
      <c r="EI399" s="6"/>
      <c r="EJ399" s="6"/>
      <c r="EK399" s="6"/>
      <c r="EL399" s="6"/>
      <c r="EM399" s="6"/>
      <c r="EN399" s="6"/>
      <c r="EO399" s="6"/>
      <c r="EP399" s="6"/>
      <c r="EQ399" s="6"/>
      <c r="ER399" s="6"/>
      <c r="ES399" s="6"/>
      <c r="ET399" s="6"/>
      <c r="EU399" s="6"/>
      <c r="EV399" s="6"/>
      <c r="EW399" s="6"/>
      <c r="EX399" s="6"/>
      <c r="EY399" s="6"/>
      <c r="EZ399" s="6"/>
      <c r="FA399" s="6"/>
      <c r="FB399" s="6"/>
      <c r="FC399" s="6"/>
      <c r="FD399" s="6"/>
      <c r="FE399" s="6"/>
      <c r="FF399" s="6"/>
      <c r="FG399" s="6"/>
      <c r="FH399" s="6"/>
      <c r="FI399" s="6"/>
      <c r="FJ399" s="6"/>
    </row>
    <row r="400" spans="1:166"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c r="CV400" s="6"/>
      <c r="CW400" s="6"/>
      <c r="CX400" s="6"/>
      <c r="CY400" s="6"/>
      <c r="CZ400" s="6"/>
      <c r="DA400" s="6"/>
      <c r="DB400" s="6"/>
      <c r="DC400" s="6"/>
      <c r="DD400" s="6"/>
      <c r="DE400" s="6"/>
      <c r="DF400" s="6"/>
      <c r="DG400" s="6"/>
      <c r="DH400" s="6"/>
      <c r="DI400" s="6"/>
      <c r="DJ400" s="6"/>
      <c r="DK400" s="6"/>
      <c r="DL400" s="6"/>
      <c r="DM400" s="6"/>
      <c r="DN400" s="6"/>
      <c r="DO400" s="6"/>
      <c r="DP400" s="6"/>
      <c r="DQ400" s="6"/>
      <c r="DR400" s="6"/>
      <c r="DS400" s="6"/>
      <c r="DT400" s="6"/>
      <c r="DU400" s="6"/>
      <c r="DV400" s="6"/>
      <c r="DW400" s="6"/>
      <c r="DX400" s="6"/>
      <c r="DY400" s="6"/>
      <c r="DZ400" s="6"/>
      <c r="EA400" s="6"/>
      <c r="EB400" s="6"/>
      <c r="EC400" s="6"/>
      <c r="ED400" s="6"/>
      <c r="EE400" s="6"/>
      <c r="EF400" s="6"/>
      <c r="EG400" s="6"/>
      <c r="EH400" s="6"/>
      <c r="EI400" s="6"/>
      <c r="EJ400" s="6"/>
      <c r="EK400" s="6"/>
      <c r="EL400" s="6"/>
      <c r="EM400" s="6"/>
      <c r="EN400" s="6"/>
      <c r="EO400" s="6"/>
      <c r="EP400" s="6"/>
      <c r="EQ400" s="6"/>
      <c r="ER400" s="6"/>
      <c r="ES400" s="6"/>
      <c r="ET400" s="6"/>
      <c r="EU400" s="6"/>
      <c r="EV400" s="6"/>
      <c r="EW400" s="6"/>
      <c r="EX400" s="6"/>
      <c r="EY400" s="6"/>
      <c r="EZ400" s="6"/>
      <c r="FA400" s="6"/>
      <c r="FB400" s="6"/>
      <c r="FC400" s="6"/>
      <c r="FD400" s="6"/>
      <c r="FE400" s="6"/>
      <c r="FF400" s="6"/>
      <c r="FG400" s="6"/>
      <c r="FH400" s="6"/>
      <c r="FI400" s="6"/>
      <c r="FJ400" s="6"/>
    </row>
    <row r="401" spans="1:166"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c r="CV401" s="6"/>
      <c r="CW401" s="6"/>
      <c r="CX401" s="6"/>
      <c r="CY401" s="6"/>
      <c r="CZ401" s="6"/>
      <c r="DA401" s="6"/>
      <c r="DB401" s="6"/>
      <c r="DC401" s="6"/>
      <c r="DD401" s="6"/>
      <c r="DE401" s="6"/>
      <c r="DF401" s="6"/>
      <c r="DG401" s="6"/>
      <c r="DH401" s="6"/>
      <c r="DI401" s="6"/>
      <c r="DJ401" s="6"/>
      <c r="DK401" s="6"/>
      <c r="DL401" s="6"/>
      <c r="DM401" s="6"/>
      <c r="DN401" s="6"/>
      <c r="DO401" s="6"/>
      <c r="DP401" s="6"/>
      <c r="DQ401" s="6"/>
      <c r="DR401" s="6"/>
      <c r="DS401" s="6"/>
      <c r="DT401" s="6"/>
      <c r="DU401" s="6"/>
      <c r="DV401" s="6"/>
      <c r="DW401" s="6"/>
      <c r="DX401" s="6"/>
      <c r="DY401" s="6"/>
      <c r="DZ401" s="6"/>
      <c r="EA401" s="6"/>
      <c r="EB401" s="6"/>
      <c r="EC401" s="6"/>
      <c r="ED401" s="6"/>
      <c r="EE401" s="6"/>
      <c r="EF401" s="6"/>
      <c r="EG401" s="6"/>
      <c r="EH401" s="6"/>
      <c r="EI401" s="6"/>
      <c r="EJ401" s="6"/>
      <c r="EK401" s="6"/>
      <c r="EL401" s="6"/>
      <c r="EM401" s="6"/>
      <c r="EN401" s="6"/>
      <c r="EO401" s="6"/>
      <c r="EP401" s="6"/>
      <c r="EQ401" s="6"/>
      <c r="ER401" s="6"/>
      <c r="ES401" s="6"/>
      <c r="ET401" s="6"/>
      <c r="EU401" s="6"/>
      <c r="EV401" s="6"/>
      <c r="EW401" s="6"/>
      <c r="EX401" s="6"/>
      <c r="EY401" s="6"/>
      <c r="EZ401" s="6"/>
      <c r="FA401" s="6"/>
      <c r="FB401" s="6"/>
      <c r="FC401" s="6"/>
      <c r="FD401" s="6"/>
      <c r="FE401" s="6"/>
      <c r="FF401" s="6"/>
      <c r="FG401" s="6"/>
      <c r="FH401" s="6"/>
      <c r="FI401" s="6"/>
      <c r="FJ401" s="6"/>
    </row>
    <row r="402" spans="1:166"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c r="CV402" s="6"/>
      <c r="CW402" s="6"/>
      <c r="CX402" s="6"/>
      <c r="CY402" s="6"/>
      <c r="CZ402" s="6"/>
      <c r="DA402" s="6"/>
      <c r="DB402" s="6"/>
      <c r="DC402" s="6"/>
      <c r="DD402" s="6"/>
      <c r="DE402" s="6"/>
      <c r="DF402" s="6"/>
      <c r="DG402" s="6"/>
      <c r="DH402" s="6"/>
      <c r="DI402" s="6"/>
      <c r="DJ402" s="6"/>
      <c r="DK402" s="6"/>
      <c r="DL402" s="6"/>
      <c r="DM402" s="6"/>
      <c r="DN402" s="6"/>
      <c r="DO402" s="6"/>
      <c r="DP402" s="6"/>
      <c r="DQ402" s="6"/>
      <c r="DR402" s="6"/>
      <c r="DS402" s="6"/>
      <c r="DT402" s="6"/>
      <c r="DU402" s="6"/>
      <c r="DV402" s="6"/>
      <c r="DW402" s="6"/>
      <c r="DX402" s="6"/>
      <c r="DY402" s="6"/>
      <c r="DZ402" s="6"/>
      <c r="EA402" s="6"/>
      <c r="EB402" s="6"/>
      <c r="EC402" s="6"/>
      <c r="ED402" s="6"/>
      <c r="EE402" s="6"/>
      <c r="EF402" s="6"/>
      <c r="EG402" s="6"/>
      <c r="EH402" s="6"/>
      <c r="EI402" s="6"/>
      <c r="EJ402" s="6"/>
      <c r="EK402" s="6"/>
      <c r="EL402" s="6"/>
      <c r="EM402" s="6"/>
      <c r="EN402" s="6"/>
      <c r="EO402" s="6"/>
      <c r="EP402" s="6"/>
      <c r="EQ402" s="6"/>
      <c r="ER402" s="6"/>
      <c r="ES402" s="6"/>
      <c r="ET402" s="6"/>
      <c r="EU402" s="6"/>
      <c r="EV402" s="6"/>
      <c r="EW402" s="6"/>
      <c r="EX402" s="6"/>
      <c r="EY402" s="6"/>
      <c r="EZ402" s="6"/>
      <c r="FA402" s="6"/>
      <c r="FB402" s="6"/>
      <c r="FC402" s="6"/>
      <c r="FD402" s="6"/>
      <c r="FE402" s="6"/>
      <c r="FF402" s="6"/>
      <c r="FG402" s="6"/>
      <c r="FH402" s="6"/>
      <c r="FI402" s="6"/>
      <c r="FJ402" s="6"/>
    </row>
    <row r="403" spans="1:166"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c r="CV403" s="6"/>
      <c r="CW403" s="6"/>
      <c r="CX403" s="6"/>
      <c r="CY403" s="6"/>
      <c r="CZ403" s="6"/>
      <c r="DA403" s="6"/>
      <c r="DB403" s="6"/>
      <c r="DC403" s="6"/>
      <c r="DD403" s="6"/>
      <c r="DE403" s="6"/>
      <c r="DF403" s="6"/>
      <c r="DG403" s="6"/>
      <c r="DH403" s="6"/>
      <c r="DI403" s="6"/>
      <c r="DJ403" s="6"/>
      <c r="DK403" s="6"/>
      <c r="DL403" s="6"/>
      <c r="DM403" s="6"/>
      <c r="DN403" s="6"/>
      <c r="DO403" s="6"/>
      <c r="DP403" s="6"/>
      <c r="DQ403" s="6"/>
      <c r="DR403" s="6"/>
      <c r="DS403" s="6"/>
      <c r="DT403" s="6"/>
      <c r="DU403" s="6"/>
      <c r="DV403" s="6"/>
      <c r="DW403" s="6"/>
      <c r="DX403" s="6"/>
      <c r="DY403" s="6"/>
      <c r="DZ403" s="6"/>
      <c r="EA403" s="6"/>
      <c r="EB403" s="6"/>
      <c r="EC403" s="6"/>
      <c r="ED403" s="6"/>
      <c r="EE403" s="6"/>
      <c r="EF403" s="6"/>
      <c r="EG403" s="6"/>
      <c r="EH403" s="6"/>
      <c r="EI403" s="6"/>
      <c r="EJ403" s="6"/>
      <c r="EK403" s="6"/>
      <c r="EL403" s="6"/>
      <c r="EM403" s="6"/>
      <c r="EN403" s="6"/>
      <c r="EO403" s="6"/>
      <c r="EP403" s="6"/>
      <c r="EQ403" s="6"/>
      <c r="ER403" s="6"/>
      <c r="ES403" s="6"/>
      <c r="ET403" s="6"/>
      <c r="EU403" s="6"/>
      <c r="EV403" s="6"/>
      <c r="EW403" s="6"/>
      <c r="EX403" s="6"/>
      <c r="EY403" s="6"/>
      <c r="EZ403" s="6"/>
      <c r="FA403" s="6"/>
      <c r="FB403" s="6"/>
      <c r="FC403" s="6"/>
      <c r="FD403" s="6"/>
      <c r="FE403" s="6"/>
      <c r="FF403" s="6"/>
      <c r="FG403" s="6"/>
      <c r="FH403" s="6"/>
      <c r="FI403" s="6"/>
      <c r="FJ403" s="6"/>
    </row>
    <row r="404" spans="1:166"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c r="CV404" s="6"/>
      <c r="CW404" s="6"/>
      <c r="CX404" s="6"/>
      <c r="CY404" s="6"/>
      <c r="CZ404" s="6"/>
      <c r="DA404" s="6"/>
      <c r="DB404" s="6"/>
      <c r="DC404" s="6"/>
      <c r="DD404" s="6"/>
      <c r="DE404" s="6"/>
      <c r="DF404" s="6"/>
      <c r="DG404" s="6"/>
      <c r="DH404" s="6"/>
      <c r="DI404" s="6"/>
      <c r="DJ404" s="6"/>
      <c r="DK404" s="6"/>
      <c r="DL404" s="6"/>
      <c r="DM404" s="6"/>
      <c r="DN404" s="6"/>
      <c r="DO404" s="6"/>
      <c r="DP404" s="6"/>
      <c r="DQ404" s="6"/>
      <c r="DR404" s="6"/>
      <c r="DS404" s="6"/>
      <c r="DT404" s="6"/>
      <c r="DU404" s="6"/>
      <c r="DV404" s="6"/>
      <c r="DW404" s="6"/>
      <c r="DX404" s="6"/>
      <c r="DY404" s="6"/>
      <c r="DZ404" s="6"/>
      <c r="EA404" s="6"/>
      <c r="EB404" s="6"/>
      <c r="EC404" s="6"/>
      <c r="ED404" s="6"/>
      <c r="EE404" s="6"/>
      <c r="EF404" s="6"/>
      <c r="EG404" s="6"/>
      <c r="EH404" s="6"/>
      <c r="EI404" s="6"/>
      <c r="EJ404" s="6"/>
      <c r="EK404" s="6"/>
      <c r="EL404" s="6"/>
      <c r="EM404" s="6"/>
      <c r="EN404" s="6"/>
      <c r="EO404" s="6"/>
      <c r="EP404" s="6"/>
      <c r="EQ404" s="6"/>
      <c r="ER404" s="6"/>
      <c r="ES404" s="6"/>
      <c r="ET404" s="6"/>
      <c r="EU404" s="6"/>
      <c r="EV404" s="6"/>
      <c r="EW404" s="6"/>
      <c r="EX404" s="6"/>
      <c r="EY404" s="6"/>
      <c r="EZ404" s="6"/>
      <c r="FA404" s="6"/>
      <c r="FB404" s="6"/>
      <c r="FC404" s="6"/>
      <c r="FD404" s="6"/>
      <c r="FE404" s="6"/>
      <c r="FF404" s="6"/>
      <c r="FG404" s="6"/>
      <c r="FH404" s="6"/>
      <c r="FI404" s="6"/>
      <c r="FJ404" s="6"/>
    </row>
    <row r="405" spans="1:166"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c r="CV405" s="6"/>
      <c r="CW405" s="6"/>
      <c r="CX405" s="6"/>
      <c r="CY405" s="6"/>
      <c r="CZ405" s="6"/>
      <c r="DA405" s="6"/>
      <c r="DB405" s="6"/>
      <c r="DC405" s="6"/>
      <c r="DD405" s="6"/>
      <c r="DE405" s="6"/>
      <c r="DF405" s="6"/>
      <c r="DG405" s="6"/>
      <c r="DH405" s="6"/>
      <c r="DI405" s="6"/>
      <c r="DJ405" s="6"/>
      <c r="DK405" s="6"/>
      <c r="DL405" s="6"/>
      <c r="DM405" s="6"/>
      <c r="DN405" s="6"/>
      <c r="DO405" s="6"/>
      <c r="DP405" s="6"/>
      <c r="DQ405" s="6"/>
      <c r="DR405" s="6"/>
      <c r="DS405" s="6"/>
      <c r="DT405" s="6"/>
      <c r="DU405" s="6"/>
      <c r="DV405" s="6"/>
      <c r="DW405" s="6"/>
      <c r="DX405" s="6"/>
      <c r="DY405" s="6"/>
      <c r="DZ405" s="6"/>
      <c r="EA405" s="6"/>
      <c r="EB405" s="6"/>
      <c r="EC405" s="6"/>
      <c r="ED405" s="6"/>
      <c r="EE405" s="6"/>
      <c r="EF405" s="6"/>
      <c r="EG405" s="6"/>
      <c r="EH405" s="6"/>
      <c r="EI405" s="6"/>
      <c r="EJ405" s="6"/>
      <c r="EK405" s="6"/>
      <c r="EL405" s="6"/>
      <c r="EM405" s="6"/>
      <c r="EN405" s="6"/>
      <c r="EO405" s="6"/>
      <c r="EP405" s="6"/>
      <c r="EQ405" s="6"/>
      <c r="ER405" s="6"/>
      <c r="ES405" s="6"/>
      <c r="ET405" s="6"/>
      <c r="EU405" s="6"/>
      <c r="EV405" s="6"/>
      <c r="EW405" s="6"/>
      <c r="EX405" s="6"/>
      <c r="EY405" s="6"/>
      <c r="EZ405" s="6"/>
      <c r="FA405" s="6"/>
      <c r="FB405" s="6"/>
      <c r="FC405" s="6"/>
      <c r="FD405" s="6"/>
      <c r="FE405" s="6"/>
      <c r="FF405" s="6"/>
      <c r="FG405" s="6"/>
      <c r="FH405" s="6"/>
      <c r="FI405" s="6"/>
      <c r="FJ405" s="6"/>
    </row>
    <row r="406" spans="1:166"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c r="CV406" s="6"/>
      <c r="CW406" s="6"/>
      <c r="CX406" s="6"/>
      <c r="CY406" s="6"/>
      <c r="CZ406" s="6"/>
      <c r="DA406" s="6"/>
      <c r="DB406" s="6"/>
      <c r="DC406" s="6"/>
      <c r="DD406" s="6"/>
      <c r="DE406" s="6"/>
      <c r="DF406" s="6"/>
      <c r="DG406" s="6"/>
      <c r="DH406" s="6"/>
      <c r="DI406" s="6"/>
      <c r="DJ406" s="6"/>
      <c r="DK406" s="6"/>
      <c r="DL406" s="6"/>
      <c r="DM406" s="6"/>
      <c r="DN406" s="6"/>
      <c r="DO406" s="6"/>
      <c r="DP406" s="6"/>
      <c r="DQ406" s="6"/>
      <c r="DR406" s="6"/>
      <c r="DS406" s="6"/>
      <c r="DT406" s="6"/>
      <c r="DU406" s="6"/>
      <c r="DV406" s="6"/>
      <c r="DW406" s="6"/>
      <c r="DX406" s="6"/>
      <c r="DY406" s="6"/>
      <c r="DZ406" s="6"/>
      <c r="EA406" s="6"/>
      <c r="EB406" s="6"/>
      <c r="EC406" s="6"/>
      <c r="ED406" s="6"/>
      <c r="EE406" s="6"/>
      <c r="EF406" s="6"/>
      <c r="EG406" s="6"/>
      <c r="EH406" s="6"/>
      <c r="EI406" s="6"/>
      <c r="EJ406" s="6"/>
      <c r="EK406" s="6"/>
      <c r="EL406" s="6"/>
      <c r="EM406" s="6"/>
      <c r="EN406" s="6"/>
      <c r="EO406" s="6"/>
      <c r="EP406" s="6"/>
      <c r="EQ406" s="6"/>
      <c r="ER406" s="6"/>
      <c r="ES406" s="6"/>
      <c r="ET406" s="6"/>
      <c r="EU406" s="6"/>
      <c r="EV406" s="6"/>
      <c r="EW406" s="6"/>
      <c r="EX406" s="6"/>
      <c r="EY406" s="6"/>
      <c r="EZ406" s="6"/>
      <c r="FA406" s="6"/>
      <c r="FB406" s="6"/>
      <c r="FC406" s="6"/>
      <c r="FD406" s="6"/>
      <c r="FE406" s="6"/>
      <c r="FF406" s="6"/>
      <c r="FG406" s="6"/>
      <c r="FH406" s="6"/>
      <c r="FI406" s="6"/>
      <c r="FJ406" s="6"/>
    </row>
    <row r="407" spans="1:166"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c r="CV407" s="6"/>
      <c r="CW407" s="6"/>
      <c r="CX407" s="6"/>
      <c r="CY407" s="6"/>
      <c r="CZ407" s="6"/>
      <c r="DA407" s="6"/>
      <c r="DB407" s="6"/>
      <c r="DC407" s="6"/>
      <c r="DD407" s="6"/>
      <c r="DE407" s="6"/>
      <c r="DF407" s="6"/>
      <c r="DG407" s="6"/>
      <c r="DH407" s="6"/>
      <c r="DI407" s="6"/>
      <c r="DJ407" s="6"/>
      <c r="DK407" s="6"/>
      <c r="DL407" s="6"/>
      <c r="DM407" s="6"/>
      <c r="DN407" s="6"/>
      <c r="DO407" s="6"/>
      <c r="DP407" s="6"/>
      <c r="DQ407" s="6"/>
      <c r="DR407" s="6"/>
      <c r="DS407" s="6"/>
      <c r="DT407" s="6"/>
      <c r="DU407" s="6"/>
      <c r="DV407" s="6"/>
      <c r="DW407" s="6"/>
      <c r="DX407" s="6"/>
      <c r="DY407" s="6"/>
      <c r="DZ407" s="6"/>
      <c r="EA407" s="6"/>
      <c r="EB407" s="6"/>
      <c r="EC407" s="6"/>
      <c r="ED407" s="6"/>
      <c r="EE407" s="6"/>
      <c r="EF407" s="6"/>
      <c r="EG407" s="6"/>
      <c r="EH407" s="6"/>
      <c r="EI407" s="6"/>
      <c r="EJ407" s="6"/>
      <c r="EK407" s="6"/>
      <c r="EL407" s="6"/>
      <c r="EM407" s="6"/>
      <c r="EN407" s="6"/>
      <c r="EO407" s="6"/>
      <c r="EP407" s="6"/>
      <c r="EQ407" s="6"/>
      <c r="ER407" s="6"/>
      <c r="ES407" s="6"/>
      <c r="ET407" s="6"/>
      <c r="EU407" s="6"/>
      <c r="EV407" s="6"/>
      <c r="EW407" s="6"/>
      <c r="EX407" s="6"/>
      <c r="EY407" s="6"/>
      <c r="EZ407" s="6"/>
      <c r="FA407" s="6"/>
      <c r="FB407" s="6"/>
      <c r="FC407" s="6"/>
      <c r="FD407" s="6"/>
      <c r="FE407" s="6"/>
      <c r="FF407" s="6"/>
      <c r="FG407" s="6"/>
      <c r="FH407" s="6"/>
      <c r="FI407" s="6"/>
      <c r="FJ407" s="6"/>
    </row>
    <row r="408" spans="1:166"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c r="CV408" s="6"/>
      <c r="CW408" s="6"/>
      <c r="CX408" s="6"/>
      <c r="CY408" s="6"/>
      <c r="CZ408" s="6"/>
      <c r="DA408" s="6"/>
      <c r="DB408" s="6"/>
      <c r="DC408" s="6"/>
      <c r="DD408" s="6"/>
      <c r="DE408" s="6"/>
      <c r="DF408" s="6"/>
      <c r="DG408" s="6"/>
      <c r="DH408" s="6"/>
      <c r="DI408" s="6"/>
      <c r="DJ408" s="6"/>
      <c r="DK408" s="6"/>
      <c r="DL408" s="6"/>
      <c r="DM408" s="6"/>
      <c r="DN408" s="6"/>
      <c r="DO408" s="6"/>
      <c r="DP408" s="6"/>
      <c r="DQ408" s="6"/>
      <c r="DR408" s="6"/>
      <c r="DS408" s="6"/>
      <c r="DT408" s="6"/>
      <c r="DU408" s="6"/>
      <c r="DV408" s="6"/>
      <c r="DW408" s="6"/>
      <c r="DX408" s="6"/>
      <c r="DY408" s="6"/>
      <c r="DZ408" s="6"/>
      <c r="EA408" s="6"/>
      <c r="EB408" s="6"/>
      <c r="EC408" s="6"/>
      <c r="ED408" s="6"/>
      <c r="EE408" s="6"/>
      <c r="EF408" s="6"/>
      <c r="EG408" s="6"/>
      <c r="EH408" s="6"/>
      <c r="EI408" s="6"/>
      <c r="EJ408" s="6"/>
      <c r="EK408" s="6"/>
      <c r="EL408" s="6"/>
      <c r="EM408" s="6"/>
      <c r="EN408" s="6"/>
      <c r="EO408" s="6"/>
      <c r="EP408" s="6"/>
      <c r="EQ408" s="6"/>
      <c r="ER408" s="6"/>
      <c r="ES408" s="6"/>
      <c r="ET408" s="6"/>
      <c r="EU408" s="6"/>
      <c r="EV408" s="6"/>
      <c r="EW408" s="6"/>
      <c r="EX408" s="6"/>
      <c r="EY408" s="6"/>
      <c r="EZ408" s="6"/>
      <c r="FA408" s="6"/>
      <c r="FB408" s="6"/>
      <c r="FC408" s="6"/>
      <c r="FD408" s="6"/>
      <c r="FE408" s="6"/>
      <c r="FF408" s="6"/>
      <c r="FG408" s="6"/>
      <c r="FH408" s="6"/>
      <c r="FI408" s="6"/>
      <c r="FJ408" s="6"/>
    </row>
    <row r="409" spans="1:166"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c r="CV409" s="6"/>
      <c r="CW409" s="6"/>
      <c r="CX409" s="6"/>
      <c r="CY409" s="6"/>
      <c r="CZ409" s="6"/>
      <c r="DA409" s="6"/>
      <c r="DB409" s="6"/>
      <c r="DC409" s="6"/>
      <c r="DD409" s="6"/>
      <c r="DE409" s="6"/>
      <c r="DF409" s="6"/>
      <c r="DG409" s="6"/>
      <c r="DH409" s="6"/>
      <c r="DI409" s="6"/>
      <c r="DJ409" s="6"/>
      <c r="DK409" s="6"/>
      <c r="DL409" s="6"/>
      <c r="DM409" s="6"/>
      <c r="DN409" s="6"/>
      <c r="DO409" s="6"/>
      <c r="DP409" s="6"/>
      <c r="DQ409" s="6"/>
      <c r="DR409" s="6"/>
      <c r="DS409" s="6"/>
      <c r="DT409" s="6"/>
      <c r="DU409" s="6"/>
      <c r="DV409" s="6"/>
      <c r="DW409" s="6"/>
      <c r="DX409" s="6"/>
      <c r="DY409" s="6"/>
      <c r="DZ409" s="6"/>
      <c r="EA409" s="6"/>
      <c r="EB409" s="6"/>
      <c r="EC409" s="6"/>
      <c r="ED409" s="6"/>
      <c r="EE409" s="6"/>
      <c r="EF409" s="6"/>
      <c r="EG409" s="6"/>
      <c r="EH409" s="6"/>
      <c r="EI409" s="6"/>
      <c r="EJ409" s="6"/>
      <c r="EK409" s="6"/>
      <c r="EL409" s="6"/>
      <c r="EM409" s="6"/>
      <c r="EN409" s="6"/>
      <c r="EO409" s="6"/>
      <c r="EP409" s="6"/>
      <c r="EQ409" s="6"/>
      <c r="ER409" s="6"/>
      <c r="ES409" s="6"/>
      <c r="ET409" s="6"/>
      <c r="EU409" s="6"/>
      <c r="EV409" s="6"/>
      <c r="EW409" s="6"/>
      <c r="EX409" s="6"/>
      <c r="EY409" s="6"/>
      <c r="EZ409" s="6"/>
      <c r="FA409" s="6"/>
      <c r="FB409" s="6"/>
      <c r="FC409" s="6"/>
      <c r="FD409" s="6"/>
      <c r="FE409" s="6"/>
      <c r="FF409" s="6"/>
      <c r="FG409" s="6"/>
      <c r="FH409" s="6"/>
      <c r="FI409" s="6"/>
      <c r="FJ409" s="6"/>
    </row>
    <row r="410" spans="1:166"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c r="CV410" s="6"/>
      <c r="CW410" s="6"/>
      <c r="CX410" s="6"/>
      <c r="CY410" s="6"/>
      <c r="CZ410" s="6"/>
      <c r="DA410" s="6"/>
      <c r="DB410" s="6"/>
      <c r="DC410" s="6"/>
      <c r="DD410" s="6"/>
      <c r="DE410" s="6"/>
      <c r="DF410" s="6"/>
      <c r="DG410" s="6"/>
      <c r="DH410" s="6"/>
      <c r="DI410" s="6"/>
      <c r="DJ410" s="6"/>
      <c r="DK410" s="6"/>
      <c r="DL410" s="6"/>
      <c r="DM410" s="6"/>
      <c r="DN410" s="6"/>
      <c r="DO410" s="6"/>
      <c r="DP410" s="6"/>
      <c r="DQ410" s="6"/>
      <c r="DR410" s="6"/>
      <c r="DS410" s="6"/>
      <c r="DT410" s="6"/>
      <c r="DU410" s="6"/>
      <c r="DV410" s="6"/>
      <c r="DW410" s="6"/>
      <c r="DX410" s="6"/>
      <c r="DY410" s="6"/>
      <c r="DZ410" s="6"/>
      <c r="EA410" s="6"/>
      <c r="EB410" s="6"/>
      <c r="EC410" s="6"/>
      <c r="ED410" s="6"/>
      <c r="EE410" s="6"/>
      <c r="EF410" s="6"/>
      <c r="EG410" s="6"/>
      <c r="EH410" s="6"/>
      <c r="EI410" s="6"/>
      <c r="EJ410" s="6"/>
      <c r="EK410" s="6"/>
      <c r="EL410" s="6"/>
      <c r="EM410" s="6"/>
      <c r="EN410" s="6"/>
      <c r="EO410" s="6"/>
      <c r="EP410" s="6"/>
      <c r="EQ410" s="6"/>
      <c r="ER410" s="6"/>
      <c r="ES410" s="6"/>
      <c r="ET410" s="6"/>
      <c r="EU410" s="6"/>
      <c r="EV410" s="6"/>
      <c r="EW410" s="6"/>
      <c r="EX410" s="6"/>
      <c r="EY410" s="6"/>
      <c r="EZ410" s="6"/>
      <c r="FA410" s="6"/>
      <c r="FB410" s="6"/>
      <c r="FC410" s="6"/>
      <c r="FD410" s="6"/>
      <c r="FE410" s="6"/>
      <c r="FF410" s="6"/>
      <c r="FG410" s="6"/>
      <c r="FH410" s="6"/>
      <c r="FI410" s="6"/>
      <c r="FJ410" s="6"/>
    </row>
    <row r="411" spans="1:166"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c r="CV411" s="6"/>
      <c r="CW411" s="6"/>
      <c r="CX411" s="6"/>
      <c r="CY411" s="6"/>
      <c r="CZ411" s="6"/>
      <c r="DA411" s="6"/>
      <c r="DB411" s="6"/>
      <c r="DC411" s="6"/>
      <c r="DD411" s="6"/>
      <c r="DE411" s="6"/>
      <c r="DF411" s="6"/>
      <c r="DG411" s="6"/>
      <c r="DH411" s="6"/>
      <c r="DI411" s="6"/>
      <c r="DJ411" s="6"/>
      <c r="DK411" s="6"/>
      <c r="DL411" s="6"/>
      <c r="DM411" s="6"/>
      <c r="DN411" s="6"/>
      <c r="DO411" s="6"/>
      <c r="DP411" s="6"/>
      <c r="DQ411" s="6"/>
      <c r="DR411" s="6"/>
      <c r="DS411" s="6"/>
      <c r="DT411" s="6"/>
      <c r="DU411" s="6"/>
      <c r="DV411" s="6"/>
      <c r="DW411" s="6"/>
      <c r="DX411" s="6"/>
      <c r="DY411" s="6"/>
      <c r="DZ411" s="6"/>
      <c r="EA411" s="6"/>
      <c r="EB411" s="6"/>
      <c r="EC411" s="6"/>
      <c r="ED411" s="6"/>
      <c r="EE411" s="6"/>
      <c r="EF411" s="6"/>
      <c r="EG411" s="6"/>
      <c r="EH411" s="6"/>
      <c r="EI411" s="6"/>
      <c r="EJ411" s="6"/>
      <c r="EK411" s="6"/>
      <c r="EL411" s="6"/>
      <c r="EM411" s="6"/>
      <c r="EN411" s="6"/>
      <c r="EO411" s="6"/>
      <c r="EP411" s="6"/>
      <c r="EQ411" s="6"/>
      <c r="ER411" s="6"/>
      <c r="ES411" s="6"/>
      <c r="ET411" s="6"/>
      <c r="EU411" s="6"/>
      <c r="EV411" s="6"/>
      <c r="EW411" s="6"/>
      <c r="EX411" s="6"/>
      <c r="EY411" s="6"/>
      <c r="EZ411" s="6"/>
      <c r="FA411" s="6"/>
      <c r="FB411" s="6"/>
      <c r="FC411" s="6"/>
      <c r="FD411" s="6"/>
      <c r="FE411" s="6"/>
      <c r="FF411" s="6"/>
      <c r="FG411" s="6"/>
      <c r="FH411" s="6"/>
      <c r="FI411" s="6"/>
      <c r="FJ411" s="6"/>
    </row>
    <row r="412" spans="1:166"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c r="CV412" s="6"/>
      <c r="CW412" s="6"/>
      <c r="CX412" s="6"/>
      <c r="CY412" s="6"/>
      <c r="CZ412" s="6"/>
      <c r="DA412" s="6"/>
      <c r="DB412" s="6"/>
      <c r="DC412" s="6"/>
      <c r="DD412" s="6"/>
      <c r="DE412" s="6"/>
      <c r="DF412" s="6"/>
      <c r="DG412" s="6"/>
      <c r="DH412" s="6"/>
      <c r="DI412" s="6"/>
      <c r="DJ412" s="6"/>
      <c r="DK412" s="6"/>
      <c r="DL412" s="6"/>
      <c r="DM412" s="6"/>
      <c r="DN412" s="6"/>
      <c r="DO412" s="6"/>
      <c r="DP412" s="6"/>
      <c r="DQ412" s="6"/>
      <c r="DR412" s="6"/>
      <c r="DS412" s="6"/>
      <c r="DT412" s="6"/>
      <c r="DU412" s="6"/>
      <c r="DV412" s="6"/>
      <c r="DW412" s="6"/>
      <c r="DX412" s="6"/>
      <c r="DY412" s="6"/>
      <c r="DZ412" s="6"/>
      <c r="EA412" s="6"/>
      <c r="EB412" s="6"/>
      <c r="EC412" s="6"/>
      <c r="ED412" s="6"/>
      <c r="EE412" s="6"/>
      <c r="EF412" s="6"/>
      <c r="EG412" s="6"/>
      <c r="EH412" s="6"/>
      <c r="EI412" s="6"/>
      <c r="EJ412" s="6"/>
      <c r="EK412" s="6"/>
      <c r="EL412" s="6"/>
      <c r="EM412" s="6"/>
      <c r="EN412" s="6"/>
      <c r="EO412" s="6"/>
      <c r="EP412" s="6"/>
      <c r="EQ412" s="6"/>
      <c r="ER412" s="6"/>
      <c r="ES412" s="6"/>
      <c r="ET412" s="6"/>
      <c r="EU412" s="6"/>
      <c r="EV412" s="6"/>
      <c r="EW412" s="6"/>
      <c r="EX412" s="6"/>
      <c r="EY412" s="6"/>
      <c r="EZ412" s="6"/>
      <c r="FA412" s="6"/>
      <c r="FB412" s="6"/>
      <c r="FC412" s="6"/>
      <c r="FD412" s="6"/>
      <c r="FE412" s="6"/>
      <c r="FF412" s="6"/>
      <c r="FG412" s="6"/>
      <c r="FH412" s="6"/>
      <c r="FI412" s="6"/>
      <c r="FJ412" s="6"/>
    </row>
    <row r="413" spans="1:166"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c r="CV413" s="6"/>
      <c r="CW413" s="6"/>
      <c r="CX413" s="6"/>
      <c r="CY413" s="6"/>
      <c r="CZ413" s="6"/>
      <c r="DA413" s="6"/>
      <c r="DB413" s="6"/>
      <c r="DC413" s="6"/>
      <c r="DD413" s="6"/>
      <c r="DE413" s="6"/>
      <c r="DF413" s="6"/>
      <c r="DG413" s="6"/>
      <c r="DH413" s="6"/>
      <c r="DI413" s="6"/>
      <c r="DJ413" s="6"/>
      <c r="DK413" s="6"/>
      <c r="DL413" s="6"/>
      <c r="DM413" s="6"/>
      <c r="DN413" s="6"/>
      <c r="DO413" s="6"/>
      <c r="DP413" s="6"/>
      <c r="DQ413" s="6"/>
      <c r="DR413" s="6"/>
      <c r="DS413" s="6"/>
      <c r="DT413" s="6"/>
      <c r="DU413" s="6"/>
      <c r="DV413" s="6"/>
      <c r="DW413" s="6"/>
      <c r="DX413" s="6"/>
      <c r="DY413" s="6"/>
      <c r="DZ413" s="6"/>
      <c r="EA413" s="6"/>
      <c r="EB413" s="6"/>
      <c r="EC413" s="6"/>
      <c r="ED413" s="6"/>
      <c r="EE413" s="6"/>
      <c r="EF413" s="6"/>
      <c r="EG413" s="6"/>
      <c r="EH413" s="6"/>
      <c r="EI413" s="6"/>
      <c r="EJ413" s="6"/>
      <c r="EK413" s="6"/>
      <c r="EL413" s="6"/>
      <c r="EM413" s="6"/>
      <c r="EN413" s="6"/>
      <c r="EO413" s="6"/>
      <c r="EP413" s="6"/>
      <c r="EQ413" s="6"/>
      <c r="ER413" s="6"/>
      <c r="ES413" s="6"/>
      <c r="ET413" s="6"/>
      <c r="EU413" s="6"/>
      <c r="EV413" s="6"/>
      <c r="EW413" s="6"/>
      <c r="EX413" s="6"/>
      <c r="EY413" s="6"/>
      <c r="EZ413" s="6"/>
      <c r="FA413" s="6"/>
      <c r="FB413" s="6"/>
      <c r="FC413" s="6"/>
      <c r="FD413" s="6"/>
      <c r="FE413" s="6"/>
      <c r="FF413" s="6"/>
      <c r="FG413" s="6"/>
      <c r="FH413" s="6"/>
      <c r="FI413" s="6"/>
      <c r="FJ413" s="6"/>
    </row>
    <row r="414" spans="1:166"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c r="CV414" s="6"/>
      <c r="CW414" s="6"/>
      <c r="CX414" s="6"/>
      <c r="CY414" s="6"/>
      <c r="CZ414" s="6"/>
      <c r="DA414" s="6"/>
      <c r="DB414" s="6"/>
      <c r="DC414" s="6"/>
      <c r="DD414" s="6"/>
      <c r="DE414" s="6"/>
      <c r="DF414" s="6"/>
      <c r="DG414" s="6"/>
      <c r="DH414" s="6"/>
      <c r="DI414" s="6"/>
      <c r="DJ414" s="6"/>
      <c r="DK414" s="6"/>
      <c r="DL414" s="6"/>
      <c r="DM414" s="6"/>
      <c r="DN414" s="6"/>
      <c r="DO414" s="6"/>
      <c r="DP414" s="6"/>
      <c r="DQ414" s="6"/>
      <c r="DR414" s="6"/>
      <c r="DS414" s="6"/>
      <c r="DT414" s="6"/>
      <c r="DU414" s="6"/>
      <c r="DV414" s="6"/>
      <c r="DW414" s="6"/>
      <c r="DX414" s="6"/>
      <c r="DY414" s="6"/>
      <c r="DZ414" s="6"/>
      <c r="EA414" s="6"/>
      <c r="EB414" s="6"/>
      <c r="EC414" s="6"/>
      <c r="ED414" s="6"/>
      <c r="EE414" s="6"/>
      <c r="EF414" s="6"/>
      <c r="EG414" s="6"/>
      <c r="EH414" s="6"/>
      <c r="EI414" s="6"/>
      <c r="EJ414" s="6"/>
      <c r="EK414" s="6"/>
      <c r="EL414" s="6"/>
      <c r="EM414" s="6"/>
      <c r="EN414" s="6"/>
      <c r="EO414" s="6"/>
      <c r="EP414" s="6"/>
      <c r="EQ414" s="6"/>
      <c r="ER414" s="6"/>
      <c r="ES414" s="6"/>
      <c r="ET414" s="6"/>
      <c r="EU414" s="6"/>
      <c r="EV414" s="6"/>
      <c r="EW414" s="6"/>
      <c r="EX414" s="6"/>
      <c r="EY414" s="6"/>
      <c r="EZ414" s="6"/>
      <c r="FA414" s="6"/>
      <c r="FB414" s="6"/>
      <c r="FC414" s="6"/>
      <c r="FD414" s="6"/>
      <c r="FE414" s="6"/>
      <c r="FF414" s="6"/>
      <c r="FG414" s="6"/>
      <c r="FH414" s="6"/>
      <c r="FI414" s="6"/>
      <c r="FJ414" s="6"/>
    </row>
    <row r="415" spans="1:166"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c r="CV415" s="6"/>
      <c r="CW415" s="6"/>
      <c r="CX415" s="6"/>
      <c r="CY415" s="6"/>
      <c r="CZ415" s="6"/>
      <c r="DA415" s="6"/>
      <c r="DB415" s="6"/>
      <c r="DC415" s="6"/>
      <c r="DD415" s="6"/>
      <c r="DE415" s="6"/>
      <c r="DF415" s="6"/>
      <c r="DG415" s="6"/>
      <c r="DH415" s="6"/>
      <c r="DI415" s="6"/>
      <c r="DJ415" s="6"/>
      <c r="DK415" s="6"/>
      <c r="DL415" s="6"/>
      <c r="DM415" s="6"/>
      <c r="DN415" s="6"/>
      <c r="DO415" s="6"/>
      <c r="DP415" s="6"/>
      <c r="DQ415" s="6"/>
      <c r="DR415" s="6"/>
      <c r="DS415" s="6"/>
      <c r="DT415" s="6"/>
      <c r="DU415" s="6"/>
      <c r="DV415" s="6"/>
      <c r="DW415" s="6"/>
      <c r="DX415" s="6"/>
      <c r="DY415" s="6"/>
      <c r="DZ415" s="6"/>
      <c r="EA415" s="6"/>
      <c r="EB415" s="6"/>
      <c r="EC415" s="6"/>
      <c r="ED415" s="6"/>
      <c r="EE415" s="6"/>
      <c r="EF415" s="6"/>
      <c r="EG415" s="6"/>
      <c r="EH415" s="6"/>
      <c r="EI415" s="6"/>
      <c r="EJ415" s="6"/>
      <c r="EK415" s="6"/>
      <c r="EL415" s="6"/>
      <c r="EM415" s="6"/>
      <c r="EN415" s="6"/>
      <c r="EO415" s="6"/>
      <c r="EP415" s="6"/>
      <c r="EQ415" s="6"/>
      <c r="ER415" s="6"/>
      <c r="ES415" s="6"/>
      <c r="ET415" s="6"/>
      <c r="EU415" s="6"/>
      <c r="EV415" s="6"/>
      <c r="EW415" s="6"/>
      <c r="EX415" s="6"/>
      <c r="EY415" s="6"/>
      <c r="EZ415" s="6"/>
      <c r="FA415" s="6"/>
      <c r="FB415" s="6"/>
      <c r="FC415" s="6"/>
      <c r="FD415" s="6"/>
      <c r="FE415" s="6"/>
      <c r="FF415" s="6"/>
      <c r="FG415" s="6"/>
      <c r="FH415" s="6"/>
      <c r="FI415" s="6"/>
      <c r="FJ415" s="6"/>
    </row>
    <row r="416" spans="1:166"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c r="CV416" s="6"/>
      <c r="CW416" s="6"/>
      <c r="CX416" s="6"/>
      <c r="CY416" s="6"/>
      <c r="CZ416" s="6"/>
      <c r="DA416" s="6"/>
      <c r="DB416" s="6"/>
      <c r="DC416" s="6"/>
      <c r="DD416" s="6"/>
      <c r="DE416" s="6"/>
      <c r="DF416" s="6"/>
      <c r="DG416" s="6"/>
      <c r="DH416" s="6"/>
      <c r="DI416" s="6"/>
      <c r="DJ416" s="6"/>
      <c r="DK416" s="6"/>
      <c r="DL416" s="6"/>
      <c r="DM416" s="6"/>
      <c r="DN416" s="6"/>
      <c r="DO416" s="6"/>
      <c r="DP416" s="6"/>
      <c r="DQ416" s="6"/>
      <c r="DR416" s="6"/>
      <c r="DS416" s="6"/>
      <c r="DT416" s="6"/>
      <c r="DU416" s="6"/>
      <c r="DV416" s="6"/>
      <c r="DW416" s="6"/>
      <c r="DX416" s="6"/>
      <c r="DY416" s="6"/>
      <c r="DZ416" s="6"/>
      <c r="EA416" s="6"/>
      <c r="EB416" s="6"/>
      <c r="EC416" s="6"/>
      <c r="ED416" s="6"/>
      <c r="EE416" s="6"/>
      <c r="EF416" s="6"/>
      <c r="EG416" s="6"/>
      <c r="EH416" s="6"/>
      <c r="EI416" s="6"/>
      <c r="EJ416" s="6"/>
      <c r="EK416" s="6"/>
      <c r="EL416" s="6"/>
      <c r="EM416" s="6"/>
      <c r="EN416" s="6"/>
      <c r="EO416" s="6"/>
      <c r="EP416" s="6"/>
      <c r="EQ416" s="6"/>
      <c r="ER416" s="6"/>
      <c r="ES416" s="6"/>
      <c r="ET416" s="6"/>
      <c r="EU416" s="6"/>
      <c r="EV416" s="6"/>
      <c r="EW416" s="6"/>
      <c r="EX416" s="6"/>
      <c r="EY416" s="6"/>
      <c r="EZ416" s="6"/>
      <c r="FA416" s="6"/>
      <c r="FB416" s="6"/>
      <c r="FC416" s="6"/>
      <c r="FD416" s="6"/>
      <c r="FE416" s="6"/>
      <c r="FF416" s="6"/>
      <c r="FG416" s="6"/>
      <c r="FH416" s="6"/>
      <c r="FI416" s="6"/>
      <c r="FJ416" s="6"/>
    </row>
    <row r="417" spans="1:166"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c r="CV417" s="6"/>
      <c r="CW417" s="6"/>
      <c r="CX417" s="6"/>
      <c r="CY417" s="6"/>
      <c r="CZ417" s="6"/>
      <c r="DA417" s="6"/>
      <c r="DB417" s="6"/>
      <c r="DC417" s="6"/>
      <c r="DD417" s="6"/>
      <c r="DE417" s="6"/>
      <c r="DF417" s="6"/>
      <c r="DG417" s="6"/>
      <c r="DH417" s="6"/>
      <c r="DI417" s="6"/>
      <c r="DJ417" s="6"/>
      <c r="DK417" s="6"/>
      <c r="DL417" s="6"/>
      <c r="DM417" s="6"/>
      <c r="DN417" s="6"/>
      <c r="DO417" s="6"/>
      <c r="DP417" s="6"/>
      <c r="DQ417" s="6"/>
      <c r="DR417" s="6"/>
      <c r="DS417" s="6"/>
      <c r="DT417" s="6"/>
      <c r="DU417" s="6"/>
      <c r="DV417" s="6"/>
      <c r="DW417" s="6"/>
      <c r="DX417" s="6"/>
      <c r="DY417" s="6"/>
      <c r="DZ417" s="6"/>
      <c r="EA417" s="6"/>
      <c r="EB417" s="6"/>
      <c r="EC417" s="6"/>
      <c r="ED417" s="6"/>
      <c r="EE417" s="6"/>
      <c r="EF417" s="6"/>
      <c r="EG417" s="6"/>
      <c r="EH417" s="6"/>
      <c r="EI417" s="6"/>
      <c r="EJ417" s="6"/>
      <c r="EK417" s="6"/>
      <c r="EL417" s="6"/>
      <c r="EM417" s="6"/>
      <c r="EN417" s="6"/>
      <c r="EO417" s="6"/>
      <c r="EP417" s="6"/>
      <c r="EQ417" s="6"/>
      <c r="ER417" s="6"/>
      <c r="ES417" s="6"/>
      <c r="ET417" s="6"/>
      <c r="EU417" s="6"/>
      <c r="EV417" s="6"/>
      <c r="EW417" s="6"/>
      <c r="EX417" s="6"/>
      <c r="EY417" s="6"/>
      <c r="EZ417" s="6"/>
      <c r="FA417" s="6"/>
      <c r="FB417" s="6"/>
      <c r="FC417" s="6"/>
      <c r="FD417" s="6"/>
      <c r="FE417" s="6"/>
      <c r="FF417" s="6"/>
      <c r="FG417" s="6"/>
      <c r="FH417" s="6"/>
      <c r="FI417" s="6"/>
      <c r="FJ417" s="6"/>
    </row>
    <row r="418" spans="1:166"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c r="CV418" s="6"/>
      <c r="CW418" s="6"/>
      <c r="CX418" s="6"/>
      <c r="CY418" s="6"/>
      <c r="CZ418" s="6"/>
      <c r="DA418" s="6"/>
      <c r="DB418" s="6"/>
      <c r="DC418" s="6"/>
      <c r="DD418" s="6"/>
      <c r="DE418" s="6"/>
      <c r="DF418" s="6"/>
      <c r="DG418" s="6"/>
      <c r="DH418" s="6"/>
      <c r="DI418" s="6"/>
      <c r="DJ418" s="6"/>
      <c r="DK418" s="6"/>
      <c r="DL418" s="6"/>
      <c r="DM418" s="6"/>
      <c r="DN418" s="6"/>
      <c r="DO418" s="6"/>
      <c r="DP418" s="6"/>
      <c r="DQ418" s="6"/>
      <c r="DR418" s="6"/>
      <c r="DS418" s="6"/>
      <c r="DT418" s="6"/>
      <c r="DU418" s="6"/>
      <c r="DV418" s="6"/>
      <c r="DW418" s="6"/>
      <c r="DX418" s="6"/>
      <c r="DY418" s="6"/>
      <c r="DZ418" s="6"/>
      <c r="EA418" s="6"/>
      <c r="EB418" s="6"/>
      <c r="EC418" s="6"/>
      <c r="ED418" s="6"/>
      <c r="EE418" s="6"/>
      <c r="EF418" s="6"/>
      <c r="EG418" s="6"/>
      <c r="EH418" s="6"/>
      <c r="EI418" s="6"/>
      <c r="EJ418" s="6"/>
      <c r="EK418" s="6"/>
      <c r="EL418" s="6"/>
      <c r="EM418" s="6"/>
      <c r="EN418" s="6"/>
      <c r="EO418" s="6"/>
      <c r="EP418" s="6"/>
      <c r="EQ418" s="6"/>
      <c r="ER418" s="6"/>
      <c r="ES418" s="6"/>
      <c r="ET418" s="6"/>
      <c r="EU418" s="6"/>
      <c r="EV418" s="6"/>
      <c r="EW418" s="6"/>
      <c r="EX418" s="6"/>
      <c r="EY418" s="6"/>
      <c r="EZ418" s="6"/>
      <c r="FA418" s="6"/>
      <c r="FB418" s="6"/>
      <c r="FC418" s="6"/>
      <c r="FD418" s="6"/>
      <c r="FE418" s="6"/>
      <c r="FF418" s="6"/>
      <c r="FG418" s="6"/>
      <c r="FH418" s="6"/>
      <c r="FI418" s="6"/>
      <c r="FJ418" s="6"/>
    </row>
    <row r="419" spans="1:166"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c r="CV419" s="6"/>
      <c r="CW419" s="6"/>
      <c r="CX419" s="6"/>
      <c r="CY419" s="6"/>
      <c r="CZ419" s="6"/>
      <c r="DA419" s="6"/>
      <c r="DB419" s="6"/>
      <c r="DC419" s="6"/>
      <c r="DD419" s="6"/>
      <c r="DE419" s="6"/>
      <c r="DF419" s="6"/>
      <c r="DG419" s="6"/>
      <c r="DH419" s="6"/>
      <c r="DI419" s="6"/>
      <c r="DJ419" s="6"/>
      <c r="DK419" s="6"/>
      <c r="DL419" s="6"/>
      <c r="DM419" s="6"/>
      <c r="DN419" s="6"/>
      <c r="DO419" s="6"/>
      <c r="DP419" s="6"/>
      <c r="DQ419" s="6"/>
      <c r="DR419" s="6"/>
      <c r="DS419" s="6"/>
      <c r="DT419" s="6"/>
      <c r="DU419" s="6"/>
      <c r="DV419" s="6"/>
      <c r="DW419" s="6"/>
      <c r="DX419" s="6"/>
      <c r="DY419" s="6"/>
      <c r="DZ419" s="6"/>
      <c r="EA419" s="6"/>
      <c r="EB419" s="6"/>
      <c r="EC419" s="6"/>
      <c r="ED419" s="6"/>
      <c r="EE419" s="6"/>
      <c r="EF419" s="6"/>
      <c r="EG419" s="6"/>
      <c r="EH419" s="6"/>
      <c r="EI419" s="6"/>
      <c r="EJ419" s="6"/>
      <c r="EK419" s="6"/>
      <c r="EL419" s="6"/>
      <c r="EM419" s="6"/>
      <c r="EN419" s="6"/>
      <c r="EO419" s="6"/>
      <c r="EP419" s="6"/>
      <c r="EQ419" s="6"/>
      <c r="ER419" s="6"/>
      <c r="ES419" s="6"/>
      <c r="ET419" s="6"/>
      <c r="EU419" s="6"/>
      <c r="EV419" s="6"/>
      <c r="EW419" s="6"/>
      <c r="EX419" s="6"/>
      <c r="EY419" s="6"/>
      <c r="EZ419" s="6"/>
      <c r="FA419" s="6"/>
      <c r="FB419" s="6"/>
      <c r="FC419" s="6"/>
      <c r="FD419" s="6"/>
      <c r="FE419" s="6"/>
      <c r="FF419" s="6"/>
      <c r="FG419" s="6"/>
      <c r="FH419" s="6"/>
      <c r="FI419" s="6"/>
      <c r="FJ419" s="6"/>
    </row>
    <row r="420" spans="1:166"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c r="CV420" s="6"/>
      <c r="CW420" s="6"/>
      <c r="CX420" s="6"/>
      <c r="CY420" s="6"/>
      <c r="CZ420" s="6"/>
      <c r="DA420" s="6"/>
      <c r="DB420" s="6"/>
      <c r="DC420" s="6"/>
      <c r="DD420" s="6"/>
      <c r="DE420" s="6"/>
      <c r="DF420" s="6"/>
      <c r="DG420" s="6"/>
      <c r="DH420" s="6"/>
      <c r="DI420" s="6"/>
      <c r="DJ420" s="6"/>
      <c r="DK420" s="6"/>
      <c r="DL420" s="6"/>
      <c r="DM420" s="6"/>
      <c r="DN420" s="6"/>
      <c r="DO420" s="6"/>
      <c r="DP420" s="6"/>
      <c r="DQ420" s="6"/>
      <c r="DR420" s="6"/>
      <c r="DS420" s="6"/>
      <c r="DT420" s="6"/>
      <c r="DU420" s="6"/>
      <c r="DV420" s="6"/>
      <c r="DW420" s="6"/>
      <c r="DX420" s="6"/>
      <c r="DY420" s="6"/>
      <c r="DZ420" s="6"/>
      <c r="EA420" s="6"/>
      <c r="EB420" s="6"/>
      <c r="EC420" s="6"/>
      <c r="ED420" s="6"/>
      <c r="EE420" s="6"/>
      <c r="EF420" s="6"/>
      <c r="EG420" s="6"/>
      <c r="EH420" s="6"/>
      <c r="EI420" s="6"/>
      <c r="EJ420" s="6"/>
      <c r="EK420" s="6"/>
      <c r="EL420" s="6"/>
      <c r="EM420" s="6"/>
      <c r="EN420" s="6"/>
      <c r="EO420" s="6"/>
      <c r="EP420" s="6"/>
      <c r="EQ420" s="6"/>
      <c r="ER420" s="6"/>
      <c r="ES420" s="6"/>
      <c r="ET420" s="6"/>
      <c r="EU420" s="6"/>
      <c r="EV420" s="6"/>
      <c r="EW420" s="6"/>
      <c r="EX420" s="6"/>
      <c r="EY420" s="6"/>
      <c r="EZ420" s="6"/>
      <c r="FA420" s="6"/>
      <c r="FB420" s="6"/>
      <c r="FC420" s="6"/>
      <c r="FD420" s="6"/>
      <c r="FE420" s="6"/>
      <c r="FF420" s="6"/>
      <c r="FG420" s="6"/>
      <c r="FH420" s="6"/>
      <c r="FI420" s="6"/>
      <c r="FJ420" s="6"/>
    </row>
    <row r="421" spans="1:166"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c r="CV421" s="6"/>
      <c r="CW421" s="6"/>
      <c r="CX421" s="6"/>
      <c r="CY421" s="6"/>
      <c r="CZ421" s="6"/>
      <c r="DA421" s="6"/>
      <c r="DB421" s="6"/>
      <c r="DC421" s="6"/>
      <c r="DD421" s="6"/>
      <c r="DE421" s="6"/>
      <c r="DF421" s="6"/>
      <c r="DG421" s="6"/>
      <c r="DH421" s="6"/>
      <c r="DI421" s="6"/>
      <c r="DJ421" s="6"/>
      <c r="DK421" s="6"/>
      <c r="DL421" s="6"/>
      <c r="DM421" s="6"/>
      <c r="DN421" s="6"/>
      <c r="DO421" s="6"/>
      <c r="DP421" s="6"/>
      <c r="DQ421" s="6"/>
      <c r="DR421" s="6"/>
      <c r="DS421" s="6"/>
      <c r="DT421" s="6"/>
      <c r="DU421" s="6"/>
      <c r="DV421" s="6"/>
      <c r="DW421" s="6"/>
      <c r="DX421" s="6"/>
      <c r="DY421" s="6"/>
      <c r="DZ421" s="6"/>
      <c r="EA421" s="6"/>
      <c r="EB421" s="6"/>
      <c r="EC421" s="6"/>
      <c r="ED421" s="6"/>
      <c r="EE421" s="6"/>
      <c r="EF421" s="6"/>
      <c r="EG421" s="6"/>
      <c r="EH421" s="6"/>
      <c r="EI421" s="6"/>
      <c r="EJ421" s="6"/>
      <c r="EK421" s="6"/>
      <c r="EL421" s="6"/>
      <c r="EM421" s="6"/>
      <c r="EN421" s="6"/>
      <c r="EO421" s="6"/>
      <c r="EP421" s="6"/>
      <c r="EQ421" s="6"/>
      <c r="ER421" s="6"/>
      <c r="ES421" s="6"/>
      <c r="ET421" s="6"/>
      <c r="EU421" s="6"/>
      <c r="EV421" s="6"/>
      <c r="EW421" s="6"/>
      <c r="EX421" s="6"/>
      <c r="EY421" s="6"/>
      <c r="EZ421" s="6"/>
      <c r="FA421" s="6"/>
      <c r="FB421" s="6"/>
      <c r="FC421" s="6"/>
      <c r="FD421" s="6"/>
      <c r="FE421" s="6"/>
      <c r="FF421" s="6"/>
      <c r="FG421" s="6"/>
      <c r="FH421" s="6"/>
      <c r="FI421" s="6"/>
      <c r="FJ421" s="6"/>
    </row>
    <row r="422" spans="1:166"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c r="CV422" s="6"/>
      <c r="CW422" s="6"/>
      <c r="CX422" s="6"/>
      <c r="CY422" s="6"/>
      <c r="CZ422" s="6"/>
      <c r="DA422" s="6"/>
      <c r="DB422" s="6"/>
      <c r="DC422" s="6"/>
      <c r="DD422" s="6"/>
      <c r="DE422" s="6"/>
      <c r="DF422" s="6"/>
      <c r="DG422" s="6"/>
      <c r="DH422" s="6"/>
      <c r="DI422" s="6"/>
      <c r="DJ422" s="6"/>
      <c r="DK422" s="6"/>
      <c r="DL422" s="6"/>
      <c r="DM422" s="6"/>
      <c r="DN422" s="6"/>
      <c r="DO422" s="6"/>
      <c r="DP422" s="6"/>
      <c r="DQ422" s="6"/>
      <c r="DR422" s="6"/>
      <c r="DS422" s="6"/>
      <c r="DT422" s="6"/>
      <c r="DU422" s="6"/>
      <c r="DV422" s="6"/>
      <c r="DW422" s="6"/>
      <c r="DX422" s="6"/>
      <c r="DY422" s="6"/>
      <c r="DZ422" s="6"/>
      <c r="EA422" s="6"/>
      <c r="EB422" s="6"/>
      <c r="EC422" s="6"/>
      <c r="ED422" s="6"/>
      <c r="EE422" s="6"/>
      <c r="EF422" s="6"/>
      <c r="EG422" s="6"/>
      <c r="EH422" s="6"/>
      <c r="EI422" s="6"/>
      <c r="EJ422" s="6"/>
      <c r="EK422" s="6"/>
      <c r="EL422" s="6"/>
      <c r="EM422" s="6"/>
      <c r="EN422" s="6"/>
      <c r="EO422" s="6"/>
      <c r="EP422" s="6"/>
      <c r="EQ422" s="6"/>
      <c r="ER422" s="6"/>
      <c r="ES422" s="6"/>
      <c r="ET422" s="6"/>
      <c r="EU422" s="6"/>
      <c r="EV422" s="6"/>
      <c r="EW422" s="6"/>
      <c r="EX422" s="6"/>
      <c r="EY422" s="6"/>
      <c r="EZ422" s="6"/>
      <c r="FA422" s="6"/>
      <c r="FB422" s="6"/>
      <c r="FC422" s="6"/>
      <c r="FD422" s="6"/>
      <c r="FE422" s="6"/>
      <c r="FF422" s="6"/>
      <c r="FG422" s="6"/>
      <c r="FH422" s="6"/>
      <c r="FI422" s="6"/>
      <c r="FJ422" s="6"/>
    </row>
    <row r="423" spans="1:166"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c r="CV423" s="6"/>
      <c r="CW423" s="6"/>
      <c r="CX423" s="6"/>
      <c r="CY423" s="6"/>
      <c r="CZ423" s="6"/>
      <c r="DA423" s="6"/>
      <c r="DB423" s="6"/>
      <c r="DC423" s="6"/>
      <c r="DD423" s="6"/>
      <c r="DE423" s="6"/>
      <c r="DF423" s="6"/>
      <c r="DG423" s="6"/>
      <c r="DH423" s="6"/>
      <c r="DI423" s="6"/>
      <c r="DJ423" s="6"/>
      <c r="DK423" s="6"/>
      <c r="DL423" s="6"/>
      <c r="DM423" s="6"/>
      <c r="DN423" s="6"/>
      <c r="DO423" s="6"/>
      <c r="DP423" s="6"/>
      <c r="DQ423" s="6"/>
      <c r="DR423" s="6"/>
      <c r="DS423" s="6"/>
      <c r="DT423" s="6"/>
      <c r="DU423" s="6"/>
      <c r="DV423" s="6"/>
      <c r="DW423" s="6"/>
      <c r="DX423" s="6"/>
      <c r="DY423" s="6"/>
      <c r="DZ423" s="6"/>
      <c r="EA423" s="6"/>
      <c r="EB423" s="6"/>
      <c r="EC423" s="6"/>
      <c r="ED423" s="6"/>
      <c r="EE423" s="6"/>
      <c r="EF423" s="6"/>
      <c r="EG423" s="6"/>
      <c r="EH423" s="6"/>
      <c r="EI423" s="6"/>
      <c r="EJ423" s="6"/>
      <c r="EK423" s="6"/>
      <c r="EL423" s="6"/>
      <c r="EM423" s="6"/>
      <c r="EN423" s="6"/>
      <c r="EO423" s="6"/>
      <c r="EP423" s="6"/>
      <c r="EQ423" s="6"/>
      <c r="ER423" s="6"/>
      <c r="ES423" s="6"/>
      <c r="ET423" s="6"/>
      <c r="EU423" s="6"/>
      <c r="EV423" s="6"/>
      <c r="EW423" s="6"/>
      <c r="EX423" s="6"/>
      <c r="EY423" s="6"/>
      <c r="EZ423" s="6"/>
      <c r="FA423" s="6"/>
      <c r="FB423" s="6"/>
      <c r="FC423" s="6"/>
      <c r="FD423" s="6"/>
      <c r="FE423" s="6"/>
      <c r="FF423" s="6"/>
      <c r="FG423" s="6"/>
      <c r="FH423" s="6"/>
      <c r="FI423" s="6"/>
      <c r="FJ423" s="6"/>
    </row>
    <row r="424" spans="1:166"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c r="CV424" s="6"/>
      <c r="CW424" s="6"/>
      <c r="CX424" s="6"/>
      <c r="CY424" s="6"/>
      <c r="CZ424" s="6"/>
      <c r="DA424" s="6"/>
      <c r="DB424" s="6"/>
      <c r="DC424" s="6"/>
      <c r="DD424" s="6"/>
      <c r="DE424" s="6"/>
      <c r="DF424" s="6"/>
      <c r="DG424" s="6"/>
      <c r="DH424" s="6"/>
      <c r="DI424" s="6"/>
      <c r="DJ424" s="6"/>
      <c r="DK424" s="6"/>
      <c r="DL424" s="6"/>
      <c r="DM424" s="6"/>
      <c r="DN424" s="6"/>
      <c r="DO424" s="6"/>
      <c r="DP424" s="6"/>
      <c r="DQ424" s="6"/>
      <c r="DR424" s="6"/>
      <c r="DS424" s="6"/>
      <c r="DT424" s="6"/>
      <c r="DU424" s="6"/>
      <c r="DV424" s="6"/>
      <c r="DW424" s="6"/>
      <c r="DX424" s="6"/>
      <c r="DY424" s="6"/>
      <c r="DZ424" s="6"/>
      <c r="EA424" s="6"/>
      <c r="EB424" s="6"/>
      <c r="EC424" s="6"/>
      <c r="ED424" s="6"/>
      <c r="EE424" s="6"/>
      <c r="EF424" s="6"/>
      <c r="EG424" s="6"/>
      <c r="EH424" s="6"/>
      <c r="EI424" s="6"/>
      <c r="EJ424" s="6"/>
      <c r="EK424" s="6"/>
      <c r="EL424" s="6"/>
      <c r="EM424" s="6"/>
      <c r="EN424" s="6"/>
      <c r="EO424" s="6"/>
      <c r="EP424" s="6"/>
      <c r="EQ424" s="6"/>
      <c r="ER424" s="6"/>
      <c r="ES424" s="6"/>
      <c r="ET424" s="6"/>
      <c r="EU424" s="6"/>
      <c r="EV424" s="6"/>
      <c r="EW424" s="6"/>
      <c r="EX424" s="6"/>
      <c r="EY424" s="6"/>
      <c r="EZ424" s="6"/>
      <c r="FA424" s="6"/>
      <c r="FB424" s="6"/>
      <c r="FC424" s="6"/>
      <c r="FD424" s="6"/>
      <c r="FE424" s="6"/>
      <c r="FF424" s="6"/>
      <c r="FG424" s="6"/>
      <c r="FH424" s="6"/>
      <c r="FI424" s="6"/>
      <c r="FJ424" s="6"/>
    </row>
    <row r="425" spans="1:166"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c r="CV425" s="6"/>
      <c r="CW425" s="6"/>
      <c r="CX425" s="6"/>
      <c r="CY425" s="6"/>
      <c r="CZ425" s="6"/>
      <c r="DA425" s="6"/>
      <c r="DB425" s="6"/>
      <c r="DC425" s="6"/>
      <c r="DD425" s="6"/>
      <c r="DE425" s="6"/>
      <c r="DF425" s="6"/>
      <c r="DG425" s="6"/>
      <c r="DH425" s="6"/>
      <c r="DI425" s="6"/>
      <c r="DJ425" s="6"/>
      <c r="DK425" s="6"/>
      <c r="DL425" s="6"/>
      <c r="DM425" s="6"/>
      <c r="DN425" s="6"/>
      <c r="DO425" s="6"/>
      <c r="DP425" s="6"/>
      <c r="DQ425" s="6"/>
      <c r="DR425" s="6"/>
      <c r="DS425" s="6"/>
      <c r="DT425" s="6"/>
      <c r="DU425" s="6"/>
      <c r="DV425" s="6"/>
      <c r="DW425" s="6"/>
      <c r="DX425" s="6"/>
      <c r="DY425" s="6"/>
      <c r="DZ425" s="6"/>
      <c r="EA425" s="6"/>
      <c r="EB425" s="6"/>
      <c r="EC425" s="6"/>
      <c r="ED425" s="6"/>
      <c r="EE425" s="6"/>
      <c r="EF425" s="6"/>
      <c r="EG425" s="6"/>
      <c r="EH425" s="6"/>
      <c r="EI425" s="6"/>
      <c r="EJ425" s="6"/>
      <c r="EK425" s="6"/>
      <c r="EL425" s="6"/>
      <c r="EM425" s="6"/>
      <c r="EN425" s="6"/>
      <c r="EO425" s="6"/>
      <c r="EP425" s="6"/>
      <c r="EQ425" s="6"/>
      <c r="ER425" s="6"/>
      <c r="ES425" s="6"/>
      <c r="ET425" s="6"/>
      <c r="EU425" s="6"/>
      <c r="EV425" s="6"/>
      <c r="EW425" s="6"/>
      <c r="EX425" s="6"/>
      <c r="EY425" s="6"/>
      <c r="EZ425" s="6"/>
      <c r="FA425" s="6"/>
      <c r="FB425" s="6"/>
      <c r="FC425" s="6"/>
      <c r="FD425" s="6"/>
      <c r="FE425" s="6"/>
      <c r="FF425" s="6"/>
      <c r="FG425" s="6"/>
      <c r="FH425" s="6"/>
      <c r="FI425" s="6"/>
      <c r="FJ425" s="6"/>
    </row>
    <row r="426" spans="1:166"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c r="CV426" s="6"/>
      <c r="CW426" s="6"/>
      <c r="CX426" s="6"/>
      <c r="CY426" s="6"/>
      <c r="CZ426" s="6"/>
      <c r="DA426" s="6"/>
      <c r="DB426" s="6"/>
      <c r="DC426" s="6"/>
      <c r="DD426" s="6"/>
      <c r="DE426" s="6"/>
      <c r="DF426" s="6"/>
      <c r="DG426" s="6"/>
      <c r="DH426" s="6"/>
      <c r="DI426" s="6"/>
      <c r="DJ426" s="6"/>
      <c r="DK426" s="6"/>
      <c r="DL426" s="6"/>
      <c r="DM426" s="6"/>
      <c r="DN426" s="6"/>
      <c r="DO426" s="6"/>
      <c r="DP426" s="6"/>
      <c r="DQ426" s="6"/>
      <c r="DR426" s="6"/>
      <c r="DS426" s="6"/>
      <c r="DT426" s="6"/>
      <c r="DU426" s="6"/>
      <c r="DV426" s="6"/>
      <c r="DW426" s="6"/>
      <c r="DX426" s="6"/>
      <c r="DY426" s="6"/>
      <c r="DZ426" s="6"/>
      <c r="EA426" s="6"/>
      <c r="EB426" s="6"/>
      <c r="EC426" s="6"/>
      <c r="ED426" s="6"/>
      <c r="EE426" s="6"/>
      <c r="EF426" s="6"/>
      <c r="EG426" s="6"/>
      <c r="EH426" s="6"/>
      <c r="EI426" s="6"/>
      <c r="EJ426" s="6"/>
      <c r="EK426" s="6"/>
      <c r="EL426" s="6"/>
      <c r="EM426" s="6"/>
      <c r="EN426" s="6"/>
      <c r="EO426" s="6"/>
      <c r="EP426" s="6"/>
      <c r="EQ426" s="6"/>
      <c r="ER426" s="6"/>
      <c r="ES426" s="6"/>
      <c r="ET426" s="6"/>
      <c r="EU426" s="6"/>
      <c r="EV426" s="6"/>
      <c r="EW426" s="6"/>
      <c r="EX426" s="6"/>
      <c r="EY426" s="6"/>
      <c r="EZ426" s="6"/>
      <c r="FA426" s="6"/>
      <c r="FB426" s="6"/>
      <c r="FC426" s="6"/>
      <c r="FD426" s="6"/>
      <c r="FE426" s="6"/>
      <c r="FF426" s="6"/>
      <c r="FG426" s="6"/>
      <c r="FH426" s="6"/>
      <c r="FI426" s="6"/>
      <c r="FJ426" s="6"/>
    </row>
    <row r="427" spans="1:166"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c r="CV427" s="6"/>
      <c r="CW427" s="6"/>
      <c r="CX427" s="6"/>
      <c r="CY427" s="6"/>
      <c r="CZ427" s="6"/>
      <c r="DA427" s="6"/>
      <c r="DB427" s="6"/>
      <c r="DC427" s="6"/>
      <c r="DD427" s="6"/>
      <c r="DE427" s="6"/>
      <c r="DF427" s="6"/>
      <c r="DG427" s="6"/>
      <c r="DH427" s="6"/>
      <c r="DI427" s="6"/>
      <c r="DJ427" s="6"/>
      <c r="DK427" s="6"/>
      <c r="DL427" s="6"/>
      <c r="DM427" s="6"/>
      <c r="DN427" s="6"/>
      <c r="DO427" s="6"/>
      <c r="DP427" s="6"/>
      <c r="DQ427" s="6"/>
      <c r="DR427" s="6"/>
      <c r="DS427" s="6"/>
      <c r="DT427" s="6"/>
      <c r="DU427" s="6"/>
      <c r="DV427" s="6"/>
      <c r="DW427" s="6"/>
      <c r="DX427" s="6"/>
      <c r="DY427" s="6"/>
      <c r="DZ427" s="6"/>
      <c r="EA427" s="6"/>
      <c r="EB427" s="6"/>
      <c r="EC427" s="6"/>
      <c r="ED427" s="6"/>
      <c r="EE427" s="6"/>
      <c r="EF427" s="6"/>
      <c r="EG427" s="6"/>
      <c r="EH427" s="6"/>
      <c r="EI427" s="6"/>
      <c r="EJ427" s="6"/>
      <c r="EK427" s="6"/>
      <c r="EL427" s="6"/>
      <c r="EM427" s="6"/>
      <c r="EN427" s="6"/>
      <c r="EO427" s="6"/>
      <c r="EP427" s="6"/>
      <c r="EQ427" s="6"/>
      <c r="ER427" s="6"/>
      <c r="ES427" s="6"/>
      <c r="ET427" s="6"/>
      <c r="EU427" s="6"/>
      <c r="EV427" s="6"/>
      <c r="EW427" s="6"/>
      <c r="EX427" s="6"/>
      <c r="EY427" s="6"/>
      <c r="EZ427" s="6"/>
      <c r="FA427" s="6"/>
      <c r="FB427" s="6"/>
      <c r="FC427" s="6"/>
      <c r="FD427" s="6"/>
      <c r="FE427" s="6"/>
      <c r="FF427" s="6"/>
      <c r="FG427" s="6"/>
      <c r="FH427" s="6"/>
      <c r="FI427" s="6"/>
      <c r="FJ427" s="6"/>
    </row>
    <row r="428" spans="1:166"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c r="CV428" s="6"/>
      <c r="CW428" s="6"/>
      <c r="CX428" s="6"/>
      <c r="CY428" s="6"/>
      <c r="CZ428" s="6"/>
      <c r="DA428" s="6"/>
      <c r="DB428" s="6"/>
      <c r="DC428" s="6"/>
      <c r="DD428" s="6"/>
      <c r="DE428" s="6"/>
      <c r="DF428" s="6"/>
      <c r="DG428" s="6"/>
      <c r="DH428" s="6"/>
      <c r="DI428" s="6"/>
      <c r="DJ428" s="6"/>
      <c r="DK428" s="6"/>
      <c r="DL428" s="6"/>
      <c r="DM428" s="6"/>
      <c r="DN428" s="6"/>
      <c r="DO428" s="6"/>
      <c r="DP428" s="6"/>
      <c r="DQ428" s="6"/>
      <c r="DR428" s="6"/>
      <c r="DS428" s="6"/>
      <c r="DT428" s="6"/>
      <c r="DU428" s="6"/>
      <c r="DV428" s="6"/>
      <c r="DW428" s="6"/>
      <c r="DX428" s="6"/>
      <c r="DY428" s="6"/>
      <c r="DZ428" s="6"/>
      <c r="EA428" s="6"/>
      <c r="EB428" s="6"/>
      <c r="EC428" s="6"/>
      <c r="ED428" s="6"/>
      <c r="EE428" s="6"/>
      <c r="EF428" s="6"/>
      <c r="EG428" s="6"/>
      <c r="EH428" s="6"/>
      <c r="EI428" s="6"/>
      <c r="EJ428" s="6"/>
      <c r="EK428" s="6"/>
      <c r="EL428" s="6"/>
      <c r="EM428" s="6"/>
      <c r="EN428" s="6"/>
      <c r="EO428" s="6"/>
      <c r="EP428" s="6"/>
      <c r="EQ428" s="6"/>
      <c r="ER428" s="6"/>
      <c r="ES428" s="6"/>
      <c r="ET428" s="6"/>
      <c r="EU428" s="6"/>
      <c r="EV428" s="6"/>
      <c r="EW428" s="6"/>
      <c r="EX428" s="6"/>
      <c r="EY428" s="6"/>
      <c r="EZ428" s="6"/>
      <c r="FA428" s="6"/>
      <c r="FB428" s="6"/>
      <c r="FC428" s="6"/>
      <c r="FD428" s="6"/>
      <c r="FE428" s="6"/>
      <c r="FF428" s="6"/>
      <c r="FG428" s="6"/>
      <c r="FH428" s="6"/>
      <c r="FI428" s="6"/>
      <c r="FJ428" s="6"/>
    </row>
    <row r="429" spans="1:166"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c r="CV429" s="6"/>
      <c r="CW429" s="6"/>
      <c r="CX429" s="6"/>
      <c r="CY429" s="6"/>
      <c r="CZ429" s="6"/>
      <c r="DA429" s="6"/>
      <c r="DB429" s="6"/>
      <c r="DC429" s="6"/>
      <c r="DD429" s="6"/>
      <c r="DE429" s="6"/>
      <c r="DF429" s="6"/>
      <c r="DG429" s="6"/>
      <c r="DH429" s="6"/>
      <c r="DI429" s="6"/>
      <c r="DJ429" s="6"/>
      <c r="DK429" s="6"/>
      <c r="DL429" s="6"/>
      <c r="DM429" s="6"/>
      <c r="DN429" s="6"/>
      <c r="DO429" s="6"/>
      <c r="DP429" s="6"/>
      <c r="DQ429" s="6"/>
      <c r="DR429" s="6"/>
      <c r="DS429" s="6"/>
      <c r="DT429" s="6"/>
      <c r="DU429" s="6"/>
      <c r="DV429" s="6"/>
      <c r="DW429" s="6"/>
      <c r="DX429" s="6"/>
      <c r="DY429" s="6"/>
      <c r="DZ429" s="6"/>
      <c r="EA429" s="6"/>
      <c r="EB429" s="6"/>
      <c r="EC429" s="6"/>
      <c r="ED429" s="6"/>
      <c r="EE429" s="6"/>
      <c r="EF429" s="6"/>
      <c r="EG429" s="6"/>
      <c r="EH429" s="6"/>
      <c r="EI429" s="6"/>
      <c r="EJ429" s="6"/>
      <c r="EK429" s="6"/>
      <c r="EL429" s="6"/>
      <c r="EM429" s="6"/>
      <c r="EN429" s="6"/>
      <c r="EO429" s="6"/>
      <c r="EP429" s="6"/>
      <c r="EQ429" s="6"/>
      <c r="ER429" s="6"/>
      <c r="ES429" s="6"/>
      <c r="ET429" s="6"/>
      <c r="EU429" s="6"/>
      <c r="EV429" s="6"/>
      <c r="EW429" s="6"/>
      <c r="EX429" s="6"/>
      <c r="EY429" s="6"/>
      <c r="EZ429" s="6"/>
      <c r="FA429" s="6"/>
      <c r="FB429" s="6"/>
      <c r="FC429" s="6"/>
      <c r="FD429" s="6"/>
      <c r="FE429" s="6"/>
      <c r="FF429" s="6"/>
      <c r="FG429" s="6"/>
      <c r="FH429" s="6"/>
      <c r="FI429" s="6"/>
      <c r="FJ429" s="6"/>
    </row>
    <row r="430" spans="1:166"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c r="CV430" s="6"/>
      <c r="CW430" s="6"/>
      <c r="CX430" s="6"/>
      <c r="CY430" s="6"/>
      <c r="CZ430" s="6"/>
      <c r="DA430" s="6"/>
      <c r="DB430" s="6"/>
      <c r="DC430" s="6"/>
      <c r="DD430" s="6"/>
      <c r="DE430" s="6"/>
      <c r="DF430" s="6"/>
      <c r="DG430" s="6"/>
      <c r="DH430" s="6"/>
      <c r="DI430" s="6"/>
      <c r="DJ430" s="6"/>
      <c r="DK430" s="6"/>
      <c r="DL430" s="6"/>
      <c r="DM430" s="6"/>
      <c r="DN430" s="6"/>
      <c r="DO430" s="6"/>
      <c r="DP430" s="6"/>
      <c r="DQ430" s="6"/>
      <c r="DR430" s="6"/>
      <c r="DS430" s="6"/>
      <c r="DT430" s="6"/>
      <c r="DU430" s="6"/>
      <c r="DV430" s="6"/>
      <c r="DW430" s="6"/>
      <c r="DX430" s="6"/>
      <c r="DY430" s="6"/>
      <c r="DZ430" s="6"/>
      <c r="EA430" s="6"/>
      <c r="EB430" s="6"/>
      <c r="EC430" s="6"/>
      <c r="ED430" s="6"/>
      <c r="EE430" s="6"/>
      <c r="EF430" s="6"/>
      <c r="EG430" s="6"/>
      <c r="EH430" s="6"/>
      <c r="EI430" s="6"/>
      <c r="EJ430" s="6"/>
      <c r="EK430" s="6"/>
      <c r="EL430" s="6"/>
      <c r="EM430" s="6"/>
      <c r="EN430" s="6"/>
      <c r="EO430" s="6"/>
      <c r="EP430" s="6"/>
      <c r="EQ430" s="6"/>
      <c r="ER430" s="6"/>
      <c r="ES430" s="6"/>
      <c r="ET430" s="6"/>
      <c r="EU430" s="6"/>
      <c r="EV430" s="6"/>
      <c r="EW430" s="6"/>
      <c r="EX430" s="6"/>
      <c r="EY430" s="6"/>
      <c r="EZ430" s="6"/>
      <c r="FA430" s="6"/>
      <c r="FB430" s="6"/>
      <c r="FC430" s="6"/>
      <c r="FD430" s="6"/>
      <c r="FE430" s="6"/>
      <c r="FF430" s="6"/>
      <c r="FG430" s="6"/>
      <c r="FH430" s="6"/>
      <c r="FI430" s="6"/>
      <c r="FJ430" s="6"/>
    </row>
    <row r="431" spans="1:166"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c r="CV431" s="6"/>
      <c r="CW431" s="6"/>
      <c r="CX431" s="6"/>
      <c r="CY431" s="6"/>
      <c r="CZ431" s="6"/>
      <c r="DA431" s="6"/>
      <c r="DB431" s="6"/>
      <c r="DC431" s="6"/>
      <c r="DD431" s="6"/>
      <c r="DE431" s="6"/>
      <c r="DF431" s="6"/>
      <c r="DG431" s="6"/>
      <c r="DH431" s="6"/>
      <c r="DI431" s="6"/>
      <c r="DJ431" s="6"/>
      <c r="DK431" s="6"/>
      <c r="DL431" s="6"/>
      <c r="DM431" s="6"/>
      <c r="DN431" s="6"/>
      <c r="DO431" s="6"/>
      <c r="DP431" s="6"/>
      <c r="DQ431" s="6"/>
      <c r="DR431" s="6"/>
      <c r="DS431" s="6"/>
      <c r="DT431" s="6"/>
      <c r="DU431" s="6"/>
      <c r="DV431" s="6"/>
      <c r="DW431" s="6"/>
      <c r="DX431" s="6"/>
      <c r="DY431" s="6"/>
      <c r="DZ431" s="6"/>
      <c r="EA431" s="6"/>
      <c r="EB431" s="6"/>
      <c r="EC431" s="6"/>
      <c r="ED431" s="6"/>
      <c r="EE431" s="6"/>
      <c r="EF431" s="6"/>
      <c r="EG431" s="6"/>
      <c r="EH431" s="6"/>
      <c r="EI431" s="6"/>
      <c r="EJ431" s="6"/>
      <c r="EK431" s="6"/>
      <c r="EL431" s="6"/>
      <c r="EM431" s="6"/>
      <c r="EN431" s="6"/>
      <c r="EO431" s="6"/>
      <c r="EP431" s="6"/>
      <c r="EQ431" s="6"/>
      <c r="ER431" s="6"/>
      <c r="ES431" s="6"/>
      <c r="ET431" s="6"/>
      <c r="EU431" s="6"/>
      <c r="EV431" s="6"/>
      <c r="EW431" s="6"/>
      <c r="EX431" s="6"/>
      <c r="EY431" s="6"/>
      <c r="EZ431" s="6"/>
      <c r="FA431" s="6"/>
      <c r="FB431" s="6"/>
      <c r="FC431" s="6"/>
      <c r="FD431" s="6"/>
      <c r="FE431" s="6"/>
      <c r="FF431" s="6"/>
      <c r="FG431" s="6"/>
      <c r="FH431" s="6"/>
      <c r="FI431" s="6"/>
      <c r="FJ431" s="6"/>
    </row>
    <row r="432" spans="1:166"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c r="CV432" s="6"/>
      <c r="CW432" s="6"/>
      <c r="CX432" s="6"/>
      <c r="CY432" s="6"/>
      <c r="CZ432" s="6"/>
      <c r="DA432" s="6"/>
      <c r="DB432" s="6"/>
      <c r="DC432" s="6"/>
      <c r="DD432" s="6"/>
      <c r="DE432" s="6"/>
      <c r="DF432" s="6"/>
      <c r="DG432" s="6"/>
      <c r="DH432" s="6"/>
      <c r="DI432" s="6"/>
      <c r="DJ432" s="6"/>
      <c r="DK432" s="6"/>
      <c r="DL432" s="6"/>
      <c r="DM432" s="6"/>
      <c r="DN432" s="6"/>
      <c r="DO432" s="6"/>
      <c r="DP432" s="6"/>
      <c r="DQ432" s="6"/>
      <c r="DR432" s="6"/>
      <c r="DS432" s="6"/>
      <c r="DT432" s="6"/>
      <c r="DU432" s="6"/>
      <c r="DV432" s="6"/>
      <c r="DW432" s="6"/>
      <c r="DX432" s="6"/>
      <c r="DY432" s="6"/>
      <c r="DZ432" s="6"/>
      <c r="EA432" s="6"/>
      <c r="EB432" s="6"/>
      <c r="EC432" s="6"/>
      <c r="ED432" s="6"/>
      <c r="EE432" s="6"/>
      <c r="EF432" s="6"/>
      <c r="EG432" s="6"/>
      <c r="EH432" s="6"/>
      <c r="EI432" s="6"/>
      <c r="EJ432" s="6"/>
      <c r="EK432" s="6"/>
      <c r="EL432" s="6"/>
      <c r="EM432" s="6"/>
      <c r="EN432" s="6"/>
      <c r="EO432" s="6"/>
      <c r="EP432" s="6"/>
      <c r="EQ432" s="6"/>
      <c r="ER432" s="6"/>
      <c r="ES432" s="6"/>
      <c r="ET432" s="6"/>
      <c r="EU432" s="6"/>
      <c r="EV432" s="6"/>
      <c r="EW432" s="6"/>
      <c r="EX432" s="6"/>
      <c r="EY432" s="6"/>
      <c r="EZ432" s="6"/>
      <c r="FA432" s="6"/>
      <c r="FB432" s="6"/>
      <c r="FC432" s="6"/>
      <c r="FD432" s="6"/>
      <c r="FE432" s="6"/>
      <c r="FF432" s="6"/>
      <c r="FG432" s="6"/>
      <c r="FH432" s="6"/>
      <c r="FI432" s="6"/>
      <c r="FJ432" s="6"/>
    </row>
    <row r="433" spans="1:166"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c r="CV433" s="6"/>
      <c r="CW433" s="6"/>
      <c r="CX433" s="6"/>
      <c r="CY433" s="6"/>
      <c r="CZ433" s="6"/>
      <c r="DA433" s="6"/>
      <c r="DB433" s="6"/>
      <c r="DC433" s="6"/>
      <c r="DD433" s="6"/>
      <c r="DE433" s="6"/>
      <c r="DF433" s="6"/>
      <c r="DG433" s="6"/>
      <c r="DH433" s="6"/>
      <c r="DI433" s="6"/>
      <c r="DJ433" s="6"/>
      <c r="DK433" s="6"/>
      <c r="DL433" s="6"/>
      <c r="DM433" s="6"/>
      <c r="DN433" s="6"/>
      <c r="DO433" s="6"/>
      <c r="DP433" s="6"/>
      <c r="DQ433" s="6"/>
      <c r="DR433" s="6"/>
      <c r="DS433" s="6"/>
      <c r="DT433" s="6"/>
      <c r="DU433" s="6"/>
      <c r="DV433" s="6"/>
      <c r="DW433" s="6"/>
      <c r="DX433" s="6"/>
      <c r="DY433" s="6"/>
      <c r="DZ433" s="6"/>
      <c r="EA433" s="6"/>
      <c r="EB433" s="6"/>
      <c r="EC433" s="6"/>
      <c r="ED433" s="6"/>
      <c r="EE433" s="6"/>
      <c r="EF433" s="6"/>
      <c r="EG433" s="6"/>
      <c r="EH433" s="6"/>
      <c r="EI433" s="6"/>
      <c r="EJ433" s="6"/>
      <c r="EK433" s="6"/>
      <c r="EL433" s="6"/>
      <c r="EM433" s="6"/>
      <c r="EN433" s="6"/>
      <c r="EO433" s="6"/>
      <c r="EP433" s="6"/>
      <c r="EQ433" s="6"/>
      <c r="ER433" s="6"/>
      <c r="ES433" s="6"/>
      <c r="ET433" s="6"/>
      <c r="EU433" s="6"/>
      <c r="EV433" s="6"/>
      <c r="EW433" s="6"/>
      <c r="EX433" s="6"/>
      <c r="EY433" s="6"/>
      <c r="EZ433" s="6"/>
      <c r="FA433" s="6"/>
      <c r="FB433" s="6"/>
      <c r="FC433" s="6"/>
      <c r="FD433" s="6"/>
      <c r="FE433" s="6"/>
      <c r="FF433" s="6"/>
      <c r="FG433" s="6"/>
      <c r="FH433" s="6"/>
      <c r="FI433" s="6"/>
      <c r="FJ433" s="6"/>
    </row>
    <row r="434" spans="1:166"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c r="CV434" s="6"/>
      <c r="CW434" s="6"/>
      <c r="CX434" s="6"/>
      <c r="CY434" s="6"/>
      <c r="CZ434" s="6"/>
      <c r="DA434" s="6"/>
      <c r="DB434" s="6"/>
      <c r="DC434" s="6"/>
      <c r="DD434" s="6"/>
      <c r="DE434" s="6"/>
      <c r="DF434" s="6"/>
      <c r="DG434" s="6"/>
      <c r="DH434" s="6"/>
      <c r="DI434" s="6"/>
      <c r="DJ434" s="6"/>
      <c r="DK434" s="6"/>
      <c r="DL434" s="6"/>
      <c r="DM434" s="6"/>
      <c r="DN434" s="6"/>
      <c r="DO434" s="6"/>
      <c r="DP434" s="6"/>
      <c r="DQ434" s="6"/>
      <c r="DR434" s="6"/>
      <c r="DS434" s="6"/>
      <c r="DT434" s="6"/>
      <c r="DU434" s="6"/>
      <c r="DV434" s="6"/>
      <c r="DW434" s="6"/>
      <c r="DX434" s="6"/>
      <c r="DY434" s="6"/>
      <c r="DZ434" s="6"/>
      <c r="EA434" s="6"/>
      <c r="EB434" s="6"/>
      <c r="EC434" s="6"/>
      <c r="ED434" s="6"/>
      <c r="EE434" s="6"/>
      <c r="EF434" s="6"/>
      <c r="EG434" s="6"/>
      <c r="EH434" s="6"/>
      <c r="EI434" s="6"/>
      <c r="EJ434" s="6"/>
      <c r="EK434" s="6"/>
      <c r="EL434" s="6"/>
      <c r="EM434" s="6"/>
      <c r="EN434" s="6"/>
      <c r="EO434" s="6"/>
      <c r="EP434" s="6"/>
      <c r="EQ434" s="6"/>
      <c r="ER434" s="6"/>
      <c r="ES434" s="6"/>
      <c r="ET434" s="6"/>
      <c r="EU434" s="6"/>
      <c r="EV434" s="6"/>
      <c r="EW434" s="6"/>
      <c r="EX434" s="6"/>
      <c r="EY434" s="6"/>
      <c r="EZ434" s="6"/>
      <c r="FA434" s="6"/>
      <c r="FB434" s="6"/>
      <c r="FC434" s="6"/>
      <c r="FD434" s="6"/>
      <c r="FE434" s="6"/>
      <c r="FF434" s="6"/>
      <c r="FG434" s="6"/>
      <c r="FH434" s="6"/>
      <c r="FI434" s="6"/>
      <c r="FJ434" s="6"/>
    </row>
    <row r="435" spans="1:166"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c r="CV435" s="6"/>
      <c r="CW435" s="6"/>
      <c r="CX435" s="6"/>
      <c r="CY435" s="6"/>
      <c r="CZ435" s="6"/>
      <c r="DA435" s="6"/>
      <c r="DB435" s="6"/>
      <c r="DC435" s="6"/>
      <c r="DD435" s="6"/>
      <c r="DE435" s="6"/>
      <c r="DF435" s="6"/>
      <c r="DG435" s="6"/>
      <c r="DH435" s="6"/>
      <c r="DI435" s="6"/>
      <c r="DJ435" s="6"/>
      <c r="DK435" s="6"/>
      <c r="DL435" s="6"/>
      <c r="DM435" s="6"/>
      <c r="DN435" s="6"/>
      <c r="DO435" s="6"/>
      <c r="DP435" s="6"/>
      <c r="DQ435" s="6"/>
      <c r="DR435" s="6"/>
      <c r="DS435" s="6"/>
      <c r="DT435" s="6"/>
      <c r="DU435" s="6"/>
      <c r="DV435" s="6"/>
      <c r="DW435" s="6"/>
      <c r="DX435" s="6"/>
      <c r="DY435" s="6"/>
      <c r="DZ435" s="6"/>
      <c r="EA435" s="6"/>
      <c r="EB435" s="6"/>
      <c r="EC435" s="6"/>
      <c r="ED435" s="6"/>
      <c r="EE435" s="6"/>
      <c r="EF435" s="6"/>
      <c r="EG435" s="6"/>
      <c r="EH435" s="6"/>
      <c r="EI435" s="6"/>
      <c r="EJ435" s="6"/>
      <c r="EK435" s="6"/>
      <c r="EL435" s="6"/>
      <c r="EM435" s="6"/>
      <c r="EN435" s="6"/>
      <c r="EO435" s="6"/>
      <c r="EP435" s="6"/>
      <c r="EQ435" s="6"/>
      <c r="ER435" s="6"/>
      <c r="ES435" s="6"/>
      <c r="ET435" s="6"/>
      <c r="EU435" s="6"/>
      <c r="EV435" s="6"/>
      <c r="EW435" s="6"/>
      <c r="EX435" s="6"/>
      <c r="EY435" s="6"/>
      <c r="EZ435" s="6"/>
      <c r="FA435" s="6"/>
      <c r="FB435" s="6"/>
      <c r="FC435" s="6"/>
      <c r="FD435" s="6"/>
      <c r="FE435" s="6"/>
      <c r="FF435" s="6"/>
      <c r="FG435" s="6"/>
      <c r="FH435" s="6"/>
      <c r="FI435" s="6"/>
      <c r="FJ435" s="6"/>
    </row>
    <row r="436" spans="1:166"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c r="CP436" s="6"/>
      <c r="CQ436" s="6"/>
      <c r="CR436" s="6"/>
      <c r="CS436" s="6"/>
      <c r="CT436" s="6"/>
      <c r="CU436" s="6"/>
      <c r="CV436" s="6"/>
      <c r="CW436" s="6"/>
      <c r="CX436" s="6"/>
      <c r="CY436" s="6"/>
      <c r="CZ436" s="6"/>
      <c r="DA436" s="6"/>
      <c r="DB436" s="6"/>
      <c r="DC436" s="6"/>
      <c r="DD436" s="6"/>
      <c r="DE436" s="6"/>
      <c r="DF436" s="6"/>
      <c r="DG436" s="6"/>
      <c r="DH436" s="6"/>
      <c r="DI436" s="6"/>
      <c r="DJ436" s="6"/>
      <c r="DK436" s="6"/>
      <c r="DL436" s="6"/>
      <c r="DM436" s="6"/>
      <c r="DN436" s="6"/>
      <c r="DO436" s="6"/>
      <c r="DP436" s="6"/>
      <c r="DQ436" s="6"/>
      <c r="DR436" s="6"/>
      <c r="DS436" s="6"/>
      <c r="DT436" s="6"/>
      <c r="DU436" s="6"/>
      <c r="DV436" s="6"/>
      <c r="DW436" s="6"/>
      <c r="DX436" s="6"/>
      <c r="DY436" s="6"/>
      <c r="DZ436" s="6"/>
      <c r="EA436" s="6"/>
      <c r="EB436" s="6"/>
      <c r="EC436" s="6"/>
      <c r="ED436" s="6"/>
      <c r="EE436" s="6"/>
      <c r="EF436" s="6"/>
      <c r="EG436" s="6"/>
      <c r="EH436" s="6"/>
      <c r="EI436" s="6"/>
      <c r="EJ436" s="6"/>
      <c r="EK436" s="6"/>
      <c r="EL436" s="6"/>
      <c r="EM436" s="6"/>
      <c r="EN436" s="6"/>
      <c r="EO436" s="6"/>
      <c r="EP436" s="6"/>
      <c r="EQ436" s="6"/>
      <c r="ER436" s="6"/>
      <c r="ES436" s="6"/>
      <c r="ET436" s="6"/>
      <c r="EU436" s="6"/>
      <c r="EV436" s="6"/>
      <c r="EW436" s="6"/>
      <c r="EX436" s="6"/>
      <c r="EY436" s="6"/>
      <c r="EZ436" s="6"/>
      <c r="FA436" s="6"/>
      <c r="FB436" s="6"/>
      <c r="FC436" s="6"/>
      <c r="FD436" s="6"/>
      <c r="FE436" s="6"/>
      <c r="FF436" s="6"/>
      <c r="FG436" s="6"/>
      <c r="FH436" s="6"/>
      <c r="FI436" s="6"/>
      <c r="FJ436" s="6"/>
    </row>
    <row r="437" spans="1:166"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c r="CV437" s="6"/>
      <c r="CW437" s="6"/>
      <c r="CX437" s="6"/>
      <c r="CY437" s="6"/>
      <c r="CZ437" s="6"/>
      <c r="DA437" s="6"/>
      <c r="DB437" s="6"/>
      <c r="DC437" s="6"/>
      <c r="DD437" s="6"/>
      <c r="DE437" s="6"/>
      <c r="DF437" s="6"/>
      <c r="DG437" s="6"/>
      <c r="DH437" s="6"/>
      <c r="DI437" s="6"/>
      <c r="DJ437" s="6"/>
      <c r="DK437" s="6"/>
      <c r="DL437" s="6"/>
      <c r="DM437" s="6"/>
      <c r="DN437" s="6"/>
      <c r="DO437" s="6"/>
      <c r="DP437" s="6"/>
      <c r="DQ437" s="6"/>
      <c r="DR437" s="6"/>
      <c r="DS437" s="6"/>
      <c r="DT437" s="6"/>
      <c r="DU437" s="6"/>
      <c r="DV437" s="6"/>
      <c r="DW437" s="6"/>
      <c r="DX437" s="6"/>
      <c r="DY437" s="6"/>
      <c r="DZ437" s="6"/>
      <c r="EA437" s="6"/>
      <c r="EB437" s="6"/>
      <c r="EC437" s="6"/>
      <c r="ED437" s="6"/>
      <c r="EE437" s="6"/>
      <c r="EF437" s="6"/>
      <c r="EG437" s="6"/>
      <c r="EH437" s="6"/>
      <c r="EI437" s="6"/>
      <c r="EJ437" s="6"/>
      <c r="EK437" s="6"/>
      <c r="EL437" s="6"/>
      <c r="EM437" s="6"/>
      <c r="EN437" s="6"/>
      <c r="EO437" s="6"/>
      <c r="EP437" s="6"/>
      <c r="EQ437" s="6"/>
      <c r="ER437" s="6"/>
      <c r="ES437" s="6"/>
      <c r="ET437" s="6"/>
      <c r="EU437" s="6"/>
      <c r="EV437" s="6"/>
      <c r="EW437" s="6"/>
      <c r="EX437" s="6"/>
      <c r="EY437" s="6"/>
      <c r="EZ437" s="6"/>
      <c r="FA437" s="6"/>
      <c r="FB437" s="6"/>
      <c r="FC437" s="6"/>
      <c r="FD437" s="6"/>
      <c r="FE437" s="6"/>
      <c r="FF437" s="6"/>
      <c r="FG437" s="6"/>
      <c r="FH437" s="6"/>
      <c r="FI437" s="6"/>
      <c r="FJ437" s="6"/>
    </row>
    <row r="438" spans="1:166"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c r="CV438" s="6"/>
      <c r="CW438" s="6"/>
      <c r="CX438" s="6"/>
      <c r="CY438" s="6"/>
      <c r="CZ438" s="6"/>
      <c r="DA438" s="6"/>
      <c r="DB438" s="6"/>
      <c r="DC438" s="6"/>
      <c r="DD438" s="6"/>
      <c r="DE438" s="6"/>
      <c r="DF438" s="6"/>
      <c r="DG438" s="6"/>
      <c r="DH438" s="6"/>
      <c r="DI438" s="6"/>
      <c r="DJ438" s="6"/>
      <c r="DK438" s="6"/>
      <c r="DL438" s="6"/>
      <c r="DM438" s="6"/>
      <c r="DN438" s="6"/>
      <c r="DO438" s="6"/>
      <c r="DP438" s="6"/>
      <c r="DQ438" s="6"/>
      <c r="DR438" s="6"/>
      <c r="DS438" s="6"/>
      <c r="DT438" s="6"/>
      <c r="DU438" s="6"/>
      <c r="DV438" s="6"/>
      <c r="DW438" s="6"/>
      <c r="DX438" s="6"/>
      <c r="DY438" s="6"/>
      <c r="DZ438" s="6"/>
      <c r="EA438" s="6"/>
      <c r="EB438" s="6"/>
      <c r="EC438" s="6"/>
      <c r="ED438" s="6"/>
      <c r="EE438" s="6"/>
      <c r="EF438" s="6"/>
      <c r="EG438" s="6"/>
      <c r="EH438" s="6"/>
      <c r="EI438" s="6"/>
      <c r="EJ438" s="6"/>
      <c r="EK438" s="6"/>
      <c r="EL438" s="6"/>
      <c r="EM438" s="6"/>
      <c r="EN438" s="6"/>
      <c r="EO438" s="6"/>
      <c r="EP438" s="6"/>
      <c r="EQ438" s="6"/>
      <c r="ER438" s="6"/>
      <c r="ES438" s="6"/>
      <c r="ET438" s="6"/>
      <c r="EU438" s="6"/>
      <c r="EV438" s="6"/>
      <c r="EW438" s="6"/>
      <c r="EX438" s="6"/>
      <c r="EY438" s="6"/>
      <c r="EZ438" s="6"/>
      <c r="FA438" s="6"/>
      <c r="FB438" s="6"/>
      <c r="FC438" s="6"/>
      <c r="FD438" s="6"/>
      <c r="FE438" s="6"/>
      <c r="FF438" s="6"/>
      <c r="FG438" s="6"/>
      <c r="FH438" s="6"/>
      <c r="FI438" s="6"/>
      <c r="FJ438" s="6"/>
    </row>
    <row r="439" spans="1:166"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c r="CV439" s="6"/>
      <c r="CW439" s="6"/>
      <c r="CX439" s="6"/>
      <c r="CY439" s="6"/>
      <c r="CZ439" s="6"/>
      <c r="DA439" s="6"/>
      <c r="DB439" s="6"/>
      <c r="DC439" s="6"/>
      <c r="DD439" s="6"/>
      <c r="DE439" s="6"/>
      <c r="DF439" s="6"/>
      <c r="DG439" s="6"/>
      <c r="DH439" s="6"/>
      <c r="DI439" s="6"/>
      <c r="DJ439" s="6"/>
      <c r="DK439" s="6"/>
      <c r="DL439" s="6"/>
      <c r="DM439" s="6"/>
      <c r="DN439" s="6"/>
      <c r="DO439" s="6"/>
      <c r="DP439" s="6"/>
      <c r="DQ439" s="6"/>
      <c r="DR439" s="6"/>
      <c r="DS439" s="6"/>
      <c r="DT439" s="6"/>
      <c r="DU439" s="6"/>
      <c r="DV439" s="6"/>
      <c r="DW439" s="6"/>
      <c r="DX439" s="6"/>
      <c r="DY439" s="6"/>
      <c r="DZ439" s="6"/>
      <c r="EA439" s="6"/>
      <c r="EB439" s="6"/>
      <c r="EC439" s="6"/>
      <c r="ED439" s="6"/>
      <c r="EE439" s="6"/>
      <c r="EF439" s="6"/>
      <c r="EG439" s="6"/>
      <c r="EH439" s="6"/>
      <c r="EI439" s="6"/>
      <c r="EJ439" s="6"/>
      <c r="EK439" s="6"/>
      <c r="EL439" s="6"/>
      <c r="EM439" s="6"/>
      <c r="EN439" s="6"/>
      <c r="EO439" s="6"/>
      <c r="EP439" s="6"/>
      <c r="EQ439" s="6"/>
      <c r="ER439" s="6"/>
      <c r="ES439" s="6"/>
      <c r="ET439" s="6"/>
      <c r="EU439" s="6"/>
      <c r="EV439" s="6"/>
      <c r="EW439" s="6"/>
      <c r="EX439" s="6"/>
      <c r="EY439" s="6"/>
      <c r="EZ439" s="6"/>
      <c r="FA439" s="6"/>
      <c r="FB439" s="6"/>
      <c r="FC439" s="6"/>
      <c r="FD439" s="6"/>
      <c r="FE439" s="6"/>
      <c r="FF439" s="6"/>
      <c r="FG439" s="6"/>
      <c r="FH439" s="6"/>
      <c r="FI439" s="6"/>
      <c r="FJ439" s="6"/>
    </row>
    <row r="440" spans="1:166"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c r="CV440" s="6"/>
      <c r="CW440" s="6"/>
      <c r="CX440" s="6"/>
      <c r="CY440" s="6"/>
      <c r="CZ440" s="6"/>
      <c r="DA440" s="6"/>
      <c r="DB440" s="6"/>
      <c r="DC440" s="6"/>
      <c r="DD440" s="6"/>
      <c r="DE440" s="6"/>
      <c r="DF440" s="6"/>
      <c r="DG440" s="6"/>
      <c r="DH440" s="6"/>
      <c r="DI440" s="6"/>
      <c r="DJ440" s="6"/>
      <c r="DK440" s="6"/>
      <c r="DL440" s="6"/>
      <c r="DM440" s="6"/>
      <c r="DN440" s="6"/>
      <c r="DO440" s="6"/>
      <c r="DP440" s="6"/>
      <c r="DQ440" s="6"/>
      <c r="DR440" s="6"/>
      <c r="DS440" s="6"/>
      <c r="DT440" s="6"/>
      <c r="DU440" s="6"/>
      <c r="DV440" s="6"/>
      <c r="DW440" s="6"/>
      <c r="DX440" s="6"/>
      <c r="DY440" s="6"/>
      <c r="DZ440" s="6"/>
      <c r="EA440" s="6"/>
      <c r="EB440" s="6"/>
      <c r="EC440" s="6"/>
      <c r="ED440" s="6"/>
      <c r="EE440" s="6"/>
      <c r="EF440" s="6"/>
      <c r="EG440" s="6"/>
      <c r="EH440" s="6"/>
      <c r="EI440" s="6"/>
      <c r="EJ440" s="6"/>
      <c r="EK440" s="6"/>
      <c r="EL440" s="6"/>
      <c r="EM440" s="6"/>
      <c r="EN440" s="6"/>
      <c r="EO440" s="6"/>
      <c r="EP440" s="6"/>
      <c r="EQ440" s="6"/>
      <c r="ER440" s="6"/>
      <c r="ES440" s="6"/>
      <c r="ET440" s="6"/>
      <c r="EU440" s="6"/>
      <c r="EV440" s="6"/>
      <c r="EW440" s="6"/>
      <c r="EX440" s="6"/>
      <c r="EY440" s="6"/>
      <c r="EZ440" s="6"/>
      <c r="FA440" s="6"/>
      <c r="FB440" s="6"/>
      <c r="FC440" s="6"/>
      <c r="FD440" s="6"/>
      <c r="FE440" s="6"/>
      <c r="FF440" s="6"/>
      <c r="FG440" s="6"/>
      <c r="FH440" s="6"/>
      <c r="FI440" s="6"/>
      <c r="FJ440" s="6"/>
    </row>
    <row r="441" spans="1:166"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c r="CV441" s="6"/>
      <c r="CW441" s="6"/>
      <c r="CX441" s="6"/>
      <c r="CY441" s="6"/>
      <c r="CZ441" s="6"/>
      <c r="DA441" s="6"/>
      <c r="DB441" s="6"/>
      <c r="DC441" s="6"/>
      <c r="DD441" s="6"/>
      <c r="DE441" s="6"/>
      <c r="DF441" s="6"/>
      <c r="DG441" s="6"/>
      <c r="DH441" s="6"/>
      <c r="DI441" s="6"/>
      <c r="DJ441" s="6"/>
      <c r="DK441" s="6"/>
      <c r="DL441" s="6"/>
      <c r="DM441" s="6"/>
      <c r="DN441" s="6"/>
      <c r="DO441" s="6"/>
      <c r="DP441" s="6"/>
      <c r="DQ441" s="6"/>
      <c r="DR441" s="6"/>
      <c r="DS441" s="6"/>
      <c r="DT441" s="6"/>
      <c r="DU441" s="6"/>
      <c r="DV441" s="6"/>
      <c r="DW441" s="6"/>
      <c r="DX441" s="6"/>
      <c r="DY441" s="6"/>
      <c r="DZ441" s="6"/>
      <c r="EA441" s="6"/>
      <c r="EB441" s="6"/>
      <c r="EC441" s="6"/>
      <c r="ED441" s="6"/>
      <c r="EE441" s="6"/>
      <c r="EF441" s="6"/>
      <c r="EG441" s="6"/>
      <c r="EH441" s="6"/>
      <c r="EI441" s="6"/>
      <c r="EJ441" s="6"/>
      <c r="EK441" s="6"/>
      <c r="EL441" s="6"/>
      <c r="EM441" s="6"/>
      <c r="EN441" s="6"/>
      <c r="EO441" s="6"/>
      <c r="EP441" s="6"/>
      <c r="EQ441" s="6"/>
      <c r="ER441" s="6"/>
      <c r="ES441" s="6"/>
      <c r="ET441" s="6"/>
      <c r="EU441" s="6"/>
      <c r="EV441" s="6"/>
      <c r="EW441" s="6"/>
      <c r="EX441" s="6"/>
      <c r="EY441" s="6"/>
      <c r="EZ441" s="6"/>
      <c r="FA441" s="6"/>
      <c r="FB441" s="6"/>
      <c r="FC441" s="6"/>
      <c r="FD441" s="6"/>
      <c r="FE441" s="6"/>
      <c r="FF441" s="6"/>
      <c r="FG441" s="6"/>
      <c r="FH441" s="6"/>
      <c r="FI441" s="6"/>
      <c r="FJ441" s="6"/>
    </row>
    <row r="442" spans="1:166"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c r="CV442" s="6"/>
      <c r="CW442" s="6"/>
      <c r="CX442" s="6"/>
      <c r="CY442" s="6"/>
      <c r="CZ442" s="6"/>
      <c r="DA442" s="6"/>
      <c r="DB442" s="6"/>
      <c r="DC442" s="6"/>
      <c r="DD442" s="6"/>
      <c r="DE442" s="6"/>
      <c r="DF442" s="6"/>
      <c r="DG442" s="6"/>
      <c r="DH442" s="6"/>
      <c r="DI442" s="6"/>
      <c r="DJ442" s="6"/>
      <c r="DK442" s="6"/>
      <c r="DL442" s="6"/>
      <c r="DM442" s="6"/>
      <c r="DN442" s="6"/>
      <c r="DO442" s="6"/>
      <c r="DP442" s="6"/>
      <c r="DQ442" s="6"/>
      <c r="DR442" s="6"/>
      <c r="DS442" s="6"/>
      <c r="DT442" s="6"/>
      <c r="DU442" s="6"/>
      <c r="DV442" s="6"/>
      <c r="DW442" s="6"/>
      <c r="DX442" s="6"/>
      <c r="DY442" s="6"/>
      <c r="DZ442" s="6"/>
      <c r="EA442" s="6"/>
      <c r="EB442" s="6"/>
      <c r="EC442" s="6"/>
      <c r="ED442" s="6"/>
      <c r="EE442" s="6"/>
      <c r="EF442" s="6"/>
      <c r="EG442" s="6"/>
      <c r="EH442" s="6"/>
      <c r="EI442" s="6"/>
      <c r="EJ442" s="6"/>
      <c r="EK442" s="6"/>
      <c r="EL442" s="6"/>
      <c r="EM442" s="6"/>
      <c r="EN442" s="6"/>
      <c r="EO442" s="6"/>
      <c r="EP442" s="6"/>
      <c r="EQ442" s="6"/>
      <c r="ER442" s="6"/>
      <c r="ES442" s="6"/>
      <c r="ET442" s="6"/>
      <c r="EU442" s="6"/>
      <c r="EV442" s="6"/>
      <c r="EW442" s="6"/>
      <c r="EX442" s="6"/>
      <c r="EY442" s="6"/>
      <c r="EZ442" s="6"/>
      <c r="FA442" s="6"/>
      <c r="FB442" s="6"/>
      <c r="FC442" s="6"/>
      <c r="FD442" s="6"/>
      <c r="FE442" s="6"/>
      <c r="FF442" s="6"/>
      <c r="FG442" s="6"/>
      <c r="FH442" s="6"/>
      <c r="FI442" s="6"/>
      <c r="FJ442" s="6"/>
    </row>
    <row r="443" spans="1:166"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c r="CV443" s="6"/>
      <c r="CW443" s="6"/>
      <c r="CX443" s="6"/>
      <c r="CY443" s="6"/>
      <c r="CZ443" s="6"/>
      <c r="DA443" s="6"/>
      <c r="DB443" s="6"/>
      <c r="DC443" s="6"/>
      <c r="DD443" s="6"/>
      <c r="DE443" s="6"/>
      <c r="DF443" s="6"/>
      <c r="DG443" s="6"/>
      <c r="DH443" s="6"/>
      <c r="DI443" s="6"/>
      <c r="DJ443" s="6"/>
      <c r="DK443" s="6"/>
      <c r="DL443" s="6"/>
      <c r="DM443" s="6"/>
      <c r="DN443" s="6"/>
      <c r="DO443" s="6"/>
      <c r="DP443" s="6"/>
      <c r="DQ443" s="6"/>
      <c r="DR443" s="6"/>
      <c r="DS443" s="6"/>
      <c r="DT443" s="6"/>
      <c r="DU443" s="6"/>
      <c r="DV443" s="6"/>
      <c r="DW443" s="6"/>
      <c r="DX443" s="6"/>
      <c r="DY443" s="6"/>
      <c r="DZ443" s="6"/>
      <c r="EA443" s="6"/>
      <c r="EB443" s="6"/>
      <c r="EC443" s="6"/>
      <c r="ED443" s="6"/>
      <c r="EE443" s="6"/>
      <c r="EF443" s="6"/>
      <c r="EG443" s="6"/>
      <c r="EH443" s="6"/>
      <c r="EI443" s="6"/>
      <c r="EJ443" s="6"/>
      <c r="EK443" s="6"/>
      <c r="EL443" s="6"/>
      <c r="EM443" s="6"/>
      <c r="EN443" s="6"/>
      <c r="EO443" s="6"/>
      <c r="EP443" s="6"/>
      <c r="EQ443" s="6"/>
      <c r="ER443" s="6"/>
      <c r="ES443" s="6"/>
      <c r="ET443" s="6"/>
      <c r="EU443" s="6"/>
      <c r="EV443" s="6"/>
      <c r="EW443" s="6"/>
      <c r="EX443" s="6"/>
      <c r="EY443" s="6"/>
      <c r="EZ443" s="6"/>
      <c r="FA443" s="6"/>
      <c r="FB443" s="6"/>
      <c r="FC443" s="6"/>
      <c r="FD443" s="6"/>
      <c r="FE443" s="6"/>
      <c r="FF443" s="6"/>
      <c r="FG443" s="6"/>
      <c r="FH443" s="6"/>
      <c r="FI443" s="6"/>
      <c r="FJ443" s="6"/>
    </row>
    <row r="444" spans="1:166"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c r="CV444" s="6"/>
      <c r="CW444" s="6"/>
      <c r="CX444" s="6"/>
      <c r="CY444" s="6"/>
      <c r="CZ444" s="6"/>
      <c r="DA444" s="6"/>
      <c r="DB444" s="6"/>
      <c r="DC444" s="6"/>
      <c r="DD444" s="6"/>
      <c r="DE444" s="6"/>
      <c r="DF444" s="6"/>
      <c r="DG444" s="6"/>
      <c r="DH444" s="6"/>
      <c r="DI444" s="6"/>
      <c r="DJ444" s="6"/>
      <c r="DK444" s="6"/>
      <c r="DL444" s="6"/>
      <c r="DM444" s="6"/>
      <c r="DN444" s="6"/>
      <c r="DO444" s="6"/>
      <c r="DP444" s="6"/>
      <c r="DQ444" s="6"/>
      <c r="DR444" s="6"/>
      <c r="DS444" s="6"/>
      <c r="DT444" s="6"/>
      <c r="DU444" s="6"/>
      <c r="DV444" s="6"/>
      <c r="DW444" s="6"/>
      <c r="DX444" s="6"/>
      <c r="DY444" s="6"/>
      <c r="DZ444" s="6"/>
      <c r="EA444" s="6"/>
      <c r="EB444" s="6"/>
      <c r="EC444" s="6"/>
      <c r="ED444" s="6"/>
      <c r="EE444" s="6"/>
      <c r="EF444" s="6"/>
      <c r="EG444" s="6"/>
      <c r="EH444" s="6"/>
      <c r="EI444" s="6"/>
      <c r="EJ444" s="6"/>
      <c r="EK444" s="6"/>
      <c r="EL444" s="6"/>
      <c r="EM444" s="6"/>
      <c r="EN444" s="6"/>
      <c r="EO444" s="6"/>
      <c r="EP444" s="6"/>
      <c r="EQ444" s="6"/>
      <c r="ER444" s="6"/>
      <c r="ES444" s="6"/>
      <c r="ET444" s="6"/>
      <c r="EU444" s="6"/>
      <c r="EV444" s="6"/>
      <c r="EW444" s="6"/>
      <c r="EX444" s="6"/>
      <c r="EY444" s="6"/>
      <c r="EZ444" s="6"/>
      <c r="FA444" s="6"/>
      <c r="FB444" s="6"/>
      <c r="FC444" s="6"/>
      <c r="FD444" s="6"/>
      <c r="FE444" s="6"/>
      <c r="FF444" s="6"/>
      <c r="FG444" s="6"/>
      <c r="FH444" s="6"/>
      <c r="FI444" s="6"/>
      <c r="FJ444" s="6"/>
    </row>
    <row r="445" spans="1:166"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c r="CV445" s="6"/>
      <c r="CW445" s="6"/>
      <c r="CX445" s="6"/>
      <c r="CY445" s="6"/>
      <c r="CZ445" s="6"/>
      <c r="DA445" s="6"/>
      <c r="DB445" s="6"/>
      <c r="DC445" s="6"/>
      <c r="DD445" s="6"/>
      <c r="DE445" s="6"/>
      <c r="DF445" s="6"/>
      <c r="DG445" s="6"/>
      <c r="DH445" s="6"/>
      <c r="DI445" s="6"/>
      <c r="DJ445" s="6"/>
      <c r="DK445" s="6"/>
      <c r="DL445" s="6"/>
      <c r="DM445" s="6"/>
      <c r="DN445" s="6"/>
      <c r="DO445" s="6"/>
      <c r="DP445" s="6"/>
      <c r="DQ445" s="6"/>
      <c r="DR445" s="6"/>
      <c r="DS445" s="6"/>
      <c r="DT445" s="6"/>
      <c r="DU445" s="6"/>
      <c r="DV445" s="6"/>
      <c r="DW445" s="6"/>
      <c r="DX445" s="6"/>
      <c r="DY445" s="6"/>
      <c r="DZ445" s="6"/>
      <c r="EA445" s="6"/>
      <c r="EB445" s="6"/>
      <c r="EC445" s="6"/>
      <c r="ED445" s="6"/>
      <c r="EE445" s="6"/>
      <c r="EF445" s="6"/>
      <c r="EG445" s="6"/>
      <c r="EH445" s="6"/>
      <c r="EI445" s="6"/>
      <c r="EJ445" s="6"/>
      <c r="EK445" s="6"/>
      <c r="EL445" s="6"/>
      <c r="EM445" s="6"/>
      <c r="EN445" s="6"/>
      <c r="EO445" s="6"/>
      <c r="EP445" s="6"/>
      <c r="EQ445" s="6"/>
      <c r="ER445" s="6"/>
      <c r="ES445" s="6"/>
      <c r="ET445" s="6"/>
      <c r="EU445" s="6"/>
      <c r="EV445" s="6"/>
      <c r="EW445" s="6"/>
      <c r="EX445" s="6"/>
      <c r="EY445" s="6"/>
      <c r="EZ445" s="6"/>
      <c r="FA445" s="6"/>
      <c r="FB445" s="6"/>
      <c r="FC445" s="6"/>
      <c r="FD445" s="6"/>
      <c r="FE445" s="6"/>
      <c r="FF445" s="6"/>
      <c r="FG445" s="6"/>
      <c r="FH445" s="6"/>
      <c r="FI445" s="6"/>
      <c r="FJ445" s="6"/>
    </row>
    <row r="446" spans="1:166"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c r="CV446" s="6"/>
      <c r="CW446" s="6"/>
      <c r="CX446" s="6"/>
      <c r="CY446" s="6"/>
      <c r="CZ446" s="6"/>
      <c r="DA446" s="6"/>
      <c r="DB446" s="6"/>
      <c r="DC446" s="6"/>
      <c r="DD446" s="6"/>
      <c r="DE446" s="6"/>
      <c r="DF446" s="6"/>
      <c r="DG446" s="6"/>
      <c r="DH446" s="6"/>
      <c r="DI446" s="6"/>
      <c r="DJ446" s="6"/>
      <c r="DK446" s="6"/>
      <c r="DL446" s="6"/>
      <c r="DM446" s="6"/>
      <c r="DN446" s="6"/>
      <c r="DO446" s="6"/>
      <c r="DP446" s="6"/>
      <c r="DQ446" s="6"/>
      <c r="DR446" s="6"/>
      <c r="DS446" s="6"/>
      <c r="DT446" s="6"/>
      <c r="DU446" s="6"/>
      <c r="DV446" s="6"/>
      <c r="DW446" s="6"/>
      <c r="DX446" s="6"/>
      <c r="DY446" s="6"/>
      <c r="DZ446" s="6"/>
      <c r="EA446" s="6"/>
      <c r="EB446" s="6"/>
      <c r="EC446" s="6"/>
      <c r="ED446" s="6"/>
      <c r="EE446" s="6"/>
      <c r="EF446" s="6"/>
      <c r="EG446" s="6"/>
      <c r="EH446" s="6"/>
      <c r="EI446" s="6"/>
      <c r="EJ446" s="6"/>
      <c r="EK446" s="6"/>
      <c r="EL446" s="6"/>
      <c r="EM446" s="6"/>
      <c r="EN446" s="6"/>
      <c r="EO446" s="6"/>
      <c r="EP446" s="6"/>
      <c r="EQ446" s="6"/>
      <c r="ER446" s="6"/>
      <c r="ES446" s="6"/>
      <c r="ET446" s="6"/>
      <c r="EU446" s="6"/>
      <c r="EV446" s="6"/>
      <c r="EW446" s="6"/>
      <c r="EX446" s="6"/>
      <c r="EY446" s="6"/>
      <c r="EZ446" s="6"/>
      <c r="FA446" s="6"/>
      <c r="FB446" s="6"/>
      <c r="FC446" s="6"/>
      <c r="FD446" s="6"/>
      <c r="FE446" s="6"/>
      <c r="FF446" s="6"/>
      <c r="FG446" s="6"/>
      <c r="FH446" s="6"/>
      <c r="FI446" s="6"/>
      <c r="FJ446" s="6"/>
    </row>
    <row r="447" spans="1:166"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c r="CV447" s="6"/>
      <c r="CW447" s="6"/>
      <c r="CX447" s="6"/>
      <c r="CY447" s="6"/>
      <c r="CZ447" s="6"/>
      <c r="DA447" s="6"/>
      <c r="DB447" s="6"/>
      <c r="DC447" s="6"/>
      <c r="DD447" s="6"/>
      <c r="DE447" s="6"/>
      <c r="DF447" s="6"/>
      <c r="DG447" s="6"/>
      <c r="DH447" s="6"/>
      <c r="DI447" s="6"/>
      <c r="DJ447" s="6"/>
      <c r="DK447" s="6"/>
      <c r="DL447" s="6"/>
      <c r="DM447" s="6"/>
      <c r="DN447" s="6"/>
      <c r="DO447" s="6"/>
      <c r="DP447" s="6"/>
      <c r="DQ447" s="6"/>
      <c r="DR447" s="6"/>
      <c r="DS447" s="6"/>
      <c r="DT447" s="6"/>
      <c r="DU447" s="6"/>
      <c r="DV447" s="6"/>
      <c r="DW447" s="6"/>
      <c r="DX447" s="6"/>
      <c r="DY447" s="6"/>
      <c r="DZ447" s="6"/>
      <c r="EA447" s="6"/>
      <c r="EB447" s="6"/>
      <c r="EC447" s="6"/>
      <c r="ED447" s="6"/>
      <c r="EE447" s="6"/>
      <c r="EF447" s="6"/>
      <c r="EG447" s="6"/>
      <c r="EH447" s="6"/>
      <c r="EI447" s="6"/>
      <c r="EJ447" s="6"/>
      <c r="EK447" s="6"/>
      <c r="EL447" s="6"/>
      <c r="EM447" s="6"/>
      <c r="EN447" s="6"/>
      <c r="EO447" s="6"/>
      <c r="EP447" s="6"/>
      <c r="EQ447" s="6"/>
      <c r="ER447" s="6"/>
      <c r="ES447" s="6"/>
      <c r="ET447" s="6"/>
      <c r="EU447" s="6"/>
      <c r="EV447" s="6"/>
      <c r="EW447" s="6"/>
      <c r="EX447" s="6"/>
      <c r="EY447" s="6"/>
      <c r="EZ447" s="6"/>
      <c r="FA447" s="6"/>
      <c r="FB447" s="6"/>
      <c r="FC447" s="6"/>
      <c r="FD447" s="6"/>
      <c r="FE447" s="6"/>
      <c r="FF447" s="6"/>
      <c r="FG447" s="6"/>
      <c r="FH447" s="6"/>
      <c r="FI447" s="6"/>
      <c r="FJ447" s="6"/>
    </row>
    <row r="448" spans="1:166"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c r="CV448" s="6"/>
      <c r="CW448" s="6"/>
      <c r="CX448" s="6"/>
      <c r="CY448" s="6"/>
      <c r="CZ448" s="6"/>
      <c r="DA448" s="6"/>
      <c r="DB448" s="6"/>
      <c r="DC448" s="6"/>
      <c r="DD448" s="6"/>
      <c r="DE448" s="6"/>
      <c r="DF448" s="6"/>
      <c r="DG448" s="6"/>
      <c r="DH448" s="6"/>
      <c r="DI448" s="6"/>
      <c r="DJ448" s="6"/>
      <c r="DK448" s="6"/>
      <c r="DL448" s="6"/>
      <c r="DM448" s="6"/>
      <c r="DN448" s="6"/>
      <c r="DO448" s="6"/>
      <c r="DP448" s="6"/>
      <c r="DQ448" s="6"/>
      <c r="DR448" s="6"/>
      <c r="DS448" s="6"/>
      <c r="DT448" s="6"/>
      <c r="DU448" s="6"/>
      <c r="DV448" s="6"/>
      <c r="DW448" s="6"/>
      <c r="DX448" s="6"/>
      <c r="DY448" s="6"/>
      <c r="DZ448" s="6"/>
      <c r="EA448" s="6"/>
      <c r="EB448" s="6"/>
      <c r="EC448" s="6"/>
      <c r="ED448" s="6"/>
      <c r="EE448" s="6"/>
      <c r="EF448" s="6"/>
      <c r="EG448" s="6"/>
      <c r="EH448" s="6"/>
      <c r="EI448" s="6"/>
      <c r="EJ448" s="6"/>
      <c r="EK448" s="6"/>
      <c r="EL448" s="6"/>
      <c r="EM448" s="6"/>
      <c r="EN448" s="6"/>
      <c r="EO448" s="6"/>
      <c r="EP448" s="6"/>
      <c r="EQ448" s="6"/>
      <c r="ER448" s="6"/>
      <c r="ES448" s="6"/>
      <c r="ET448" s="6"/>
      <c r="EU448" s="6"/>
      <c r="EV448" s="6"/>
      <c r="EW448" s="6"/>
      <c r="EX448" s="6"/>
      <c r="EY448" s="6"/>
      <c r="EZ448" s="6"/>
      <c r="FA448" s="6"/>
      <c r="FB448" s="6"/>
      <c r="FC448" s="6"/>
      <c r="FD448" s="6"/>
      <c r="FE448" s="6"/>
      <c r="FF448" s="6"/>
      <c r="FG448" s="6"/>
      <c r="FH448" s="6"/>
      <c r="FI448" s="6"/>
      <c r="FJ448" s="6"/>
    </row>
    <row r="449" spans="1:166"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c r="CV449" s="6"/>
      <c r="CW449" s="6"/>
      <c r="CX449" s="6"/>
      <c r="CY449" s="6"/>
      <c r="CZ449" s="6"/>
      <c r="DA449" s="6"/>
      <c r="DB449" s="6"/>
      <c r="DC449" s="6"/>
      <c r="DD449" s="6"/>
      <c r="DE449" s="6"/>
      <c r="DF449" s="6"/>
      <c r="DG449" s="6"/>
      <c r="DH449" s="6"/>
      <c r="DI449" s="6"/>
      <c r="DJ449" s="6"/>
      <c r="DK449" s="6"/>
      <c r="DL449" s="6"/>
      <c r="DM449" s="6"/>
      <c r="DN449" s="6"/>
      <c r="DO449" s="6"/>
      <c r="DP449" s="6"/>
      <c r="DQ449" s="6"/>
      <c r="DR449" s="6"/>
      <c r="DS449" s="6"/>
      <c r="DT449" s="6"/>
      <c r="DU449" s="6"/>
      <c r="DV449" s="6"/>
      <c r="DW449" s="6"/>
      <c r="DX449" s="6"/>
      <c r="DY449" s="6"/>
      <c r="DZ449" s="6"/>
      <c r="EA449" s="6"/>
      <c r="EB449" s="6"/>
      <c r="EC449" s="6"/>
      <c r="ED449" s="6"/>
      <c r="EE449" s="6"/>
      <c r="EF449" s="6"/>
      <c r="EG449" s="6"/>
      <c r="EH449" s="6"/>
      <c r="EI449" s="6"/>
      <c r="EJ449" s="6"/>
      <c r="EK449" s="6"/>
      <c r="EL449" s="6"/>
      <c r="EM449" s="6"/>
      <c r="EN449" s="6"/>
      <c r="EO449" s="6"/>
      <c r="EP449" s="6"/>
      <c r="EQ449" s="6"/>
      <c r="ER449" s="6"/>
      <c r="ES449" s="6"/>
      <c r="ET449" s="6"/>
      <c r="EU449" s="6"/>
      <c r="EV449" s="6"/>
      <c r="EW449" s="6"/>
      <c r="EX449" s="6"/>
      <c r="EY449" s="6"/>
      <c r="EZ449" s="6"/>
      <c r="FA449" s="6"/>
      <c r="FB449" s="6"/>
      <c r="FC449" s="6"/>
      <c r="FD449" s="6"/>
      <c r="FE449" s="6"/>
      <c r="FF449" s="6"/>
      <c r="FG449" s="6"/>
      <c r="FH449" s="6"/>
      <c r="FI449" s="6"/>
      <c r="FJ449" s="6"/>
    </row>
    <row r="450" spans="1:166"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c r="CV450" s="6"/>
      <c r="CW450" s="6"/>
      <c r="CX450" s="6"/>
      <c r="CY450" s="6"/>
      <c r="CZ450" s="6"/>
      <c r="DA450" s="6"/>
      <c r="DB450" s="6"/>
      <c r="DC450" s="6"/>
      <c r="DD450" s="6"/>
      <c r="DE450" s="6"/>
      <c r="DF450" s="6"/>
      <c r="DG450" s="6"/>
      <c r="DH450" s="6"/>
      <c r="DI450" s="6"/>
      <c r="DJ450" s="6"/>
      <c r="DK450" s="6"/>
      <c r="DL450" s="6"/>
      <c r="DM450" s="6"/>
      <c r="DN450" s="6"/>
      <c r="DO450" s="6"/>
      <c r="DP450" s="6"/>
      <c r="DQ450" s="6"/>
      <c r="DR450" s="6"/>
      <c r="DS450" s="6"/>
      <c r="DT450" s="6"/>
      <c r="DU450" s="6"/>
      <c r="DV450" s="6"/>
      <c r="DW450" s="6"/>
      <c r="DX450" s="6"/>
      <c r="DY450" s="6"/>
      <c r="DZ450" s="6"/>
      <c r="EA450" s="6"/>
      <c r="EB450" s="6"/>
      <c r="EC450" s="6"/>
      <c r="ED450" s="6"/>
      <c r="EE450" s="6"/>
      <c r="EF450" s="6"/>
      <c r="EG450" s="6"/>
      <c r="EH450" s="6"/>
      <c r="EI450" s="6"/>
      <c r="EJ450" s="6"/>
      <c r="EK450" s="6"/>
      <c r="EL450" s="6"/>
      <c r="EM450" s="6"/>
      <c r="EN450" s="6"/>
      <c r="EO450" s="6"/>
      <c r="EP450" s="6"/>
      <c r="EQ450" s="6"/>
      <c r="ER450" s="6"/>
      <c r="ES450" s="6"/>
      <c r="ET450" s="6"/>
      <c r="EU450" s="6"/>
      <c r="EV450" s="6"/>
      <c r="EW450" s="6"/>
      <c r="EX450" s="6"/>
      <c r="EY450" s="6"/>
      <c r="EZ450" s="6"/>
      <c r="FA450" s="6"/>
      <c r="FB450" s="6"/>
      <c r="FC450" s="6"/>
      <c r="FD450" s="6"/>
      <c r="FE450" s="6"/>
      <c r="FF450" s="6"/>
      <c r="FG450" s="6"/>
      <c r="FH450" s="6"/>
      <c r="FI450" s="6"/>
      <c r="FJ450" s="6"/>
    </row>
    <row r="451" spans="1:166"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c r="CV451" s="6"/>
      <c r="CW451" s="6"/>
      <c r="CX451" s="6"/>
      <c r="CY451" s="6"/>
      <c r="CZ451" s="6"/>
      <c r="DA451" s="6"/>
      <c r="DB451" s="6"/>
      <c r="DC451" s="6"/>
      <c r="DD451" s="6"/>
      <c r="DE451" s="6"/>
      <c r="DF451" s="6"/>
      <c r="DG451" s="6"/>
      <c r="DH451" s="6"/>
      <c r="DI451" s="6"/>
      <c r="DJ451" s="6"/>
      <c r="DK451" s="6"/>
      <c r="DL451" s="6"/>
      <c r="DM451" s="6"/>
      <c r="DN451" s="6"/>
      <c r="DO451" s="6"/>
      <c r="DP451" s="6"/>
      <c r="DQ451" s="6"/>
      <c r="DR451" s="6"/>
      <c r="DS451" s="6"/>
      <c r="DT451" s="6"/>
      <c r="DU451" s="6"/>
      <c r="DV451" s="6"/>
      <c r="DW451" s="6"/>
      <c r="DX451" s="6"/>
      <c r="DY451" s="6"/>
      <c r="DZ451" s="6"/>
      <c r="EA451" s="6"/>
      <c r="EB451" s="6"/>
      <c r="EC451" s="6"/>
      <c r="ED451" s="6"/>
      <c r="EE451" s="6"/>
      <c r="EF451" s="6"/>
      <c r="EG451" s="6"/>
      <c r="EH451" s="6"/>
      <c r="EI451" s="6"/>
      <c r="EJ451" s="6"/>
      <c r="EK451" s="6"/>
      <c r="EL451" s="6"/>
      <c r="EM451" s="6"/>
      <c r="EN451" s="6"/>
      <c r="EO451" s="6"/>
      <c r="EP451" s="6"/>
      <c r="EQ451" s="6"/>
      <c r="ER451" s="6"/>
      <c r="ES451" s="6"/>
      <c r="ET451" s="6"/>
      <c r="EU451" s="6"/>
      <c r="EV451" s="6"/>
      <c r="EW451" s="6"/>
      <c r="EX451" s="6"/>
      <c r="EY451" s="6"/>
      <c r="EZ451" s="6"/>
      <c r="FA451" s="6"/>
      <c r="FB451" s="6"/>
      <c r="FC451" s="6"/>
      <c r="FD451" s="6"/>
      <c r="FE451" s="6"/>
      <c r="FF451" s="6"/>
      <c r="FG451" s="6"/>
      <c r="FH451" s="6"/>
      <c r="FI451" s="6"/>
      <c r="FJ451" s="6"/>
    </row>
    <row r="452" spans="1:166"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c r="CV452" s="6"/>
      <c r="CW452" s="6"/>
      <c r="CX452" s="6"/>
      <c r="CY452" s="6"/>
      <c r="CZ452" s="6"/>
      <c r="DA452" s="6"/>
      <c r="DB452" s="6"/>
      <c r="DC452" s="6"/>
      <c r="DD452" s="6"/>
      <c r="DE452" s="6"/>
      <c r="DF452" s="6"/>
      <c r="DG452" s="6"/>
      <c r="DH452" s="6"/>
      <c r="DI452" s="6"/>
      <c r="DJ452" s="6"/>
      <c r="DK452" s="6"/>
      <c r="DL452" s="6"/>
      <c r="DM452" s="6"/>
      <c r="DN452" s="6"/>
      <c r="DO452" s="6"/>
      <c r="DP452" s="6"/>
      <c r="DQ452" s="6"/>
      <c r="DR452" s="6"/>
      <c r="DS452" s="6"/>
      <c r="DT452" s="6"/>
      <c r="DU452" s="6"/>
      <c r="DV452" s="6"/>
      <c r="DW452" s="6"/>
      <c r="DX452" s="6"/>
      <c r="DY452" s="6"/>
      <c r="DZ452" s="6"/>
      <c r="EA452" s="6"/>
      <c r="EB452" s="6"/>
      <c r="EC452" s="6"/>
      <c r="ED452" s="6"/>
      <c r="EE452" s="6"/>
      <c r="EF452" s="6"/>
      <c r="EG452" s="6"/>
      <c r="EH452" s="6"/>
      <c r="EI452" s="6"/>
      <c r="EJ452" s="6"/>
      <c r="EK452" s="6"/>
      <c r="EL452" s="6"/>
      <c r="EM452" s="6"/>
      <c r="EN452" s="6"/>
      <c r="EO452" s="6"/>
      <c r="EP452" s="6"/>
      <c r="EQ452" s="6"/>
      <c r="ER452" s="6"/>
      <c r="ES452" s="6"/>
      <c r="ET452" s="6"/>
      <c r="EU452" s="6"/>
      <c r="EV452" s="6"/>
      <c r="EW452" s="6"/>
      <c r="EX452" s="6"/>
      <c r="EY452" s="6"/>
      <c r="EZ452" s="6"/>
      <c r="FA452" s="6"/>
      <c r="FB452" s="6"/>
      <c r="FC452" s="6"/>
      <c r="FD452" s="6"/>
      <c r="FE452" s="6"/>
      <c r="FF452" s="6"/>
      <c r="FG452" s="6"/>
      <c r="FH452" s="6"/>
      <c r="FI452" s="6"/>
      <c r="FJ452" s="6"/>
    </row>
    <row r="453" spans="1:166"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c r="CV453" s="6"/>
      <c r="CW453" s="6"/>
      <c r="CX453" s="6"/>
      <c r="CY453" s="6"/>
      <c r="CZ453" s="6"/>
      <c r="DA453" s="6"/>
      <c r="DB453" s="6"/>
      <c r="DC453" s="6"/>
      <c r="DD453" s="6"/>
      <c r="DE453" s="6"/>
      <c r="DF453" s="6"/>
      <c r="DG453" s="6"/>
      <c r="DH453" s="6"/>
      <c r="DI453" s="6"/>
      <c r="DJ453" s="6"/>
      <c r="DK453" s="6"/>
      <c r="DL453" s="6"/>
      <c r="DM453" s="6"/>
      <c r="DN453" s="6"/>
      <c r="DO453" s="6"/>
      <c r="DP453" s="6"/>
      <c r="DQ453" s="6"/>
      <c r="DR453" s="6"/>
      <c r="DS453" s="6"/>
      <c r="DT453" s="6"/>
      <c r="DU453" s="6"/>
      <c r="DV453" s="6"/>
      <c r="DW453" s="6"/>
      <c r="DX453" s="6"/>
      <c r="DY453" s="6"/>
      <c r="DZ453" s="6"/>
      <c r="EA453" s="6"/>
      <c r="EB453" s="6"/>
      <c r="EC453" s="6"/>
      <c r="ED453" s="6"/>
      <c r="EE453" s="6"/>
      <c r="EF453" s="6"/>
      <c r="EG453" s="6"/>
      <c r="EH453" s="6"/>
      <c r="EI453" s="6"/>
      <c r="EJ453" s="6"/>
      <c r="EK453" s="6"/>
      <c r="EL453" s="6"/>
      <c r="EM453" s="6"/>
      <c r="EN453" s="6"/>
      <c r="EO453" s="6"/>
      <c r="EP453" s="6"/>
      <c r="EQ453" s="6"/>
      <c r="ER453" s="6"/>
      <c r="ES453" s="6"/>
      <c r="ET453" s="6"/>
      <c r="EU453" s="6"/>
      <c r="EV453" s="6"/>
      <c r="EW453" s="6"/>
      <c r="EX453" s="6"/>
      <c r="EY453" s="6"/>
      <c r="EZ453" s="6"/>
      <c r="FA453" s="6"/>
      <c r="FB453" s="6"/>
      <c r="FC453" s="6"/>
      <c r="FD453" s="6"/>
      <c r="FE453" s="6"/>
      <c r="FF453" s="6"/>
      <c r="FG453" s="6"/>
      <c r="FH453" s="6"/>
      <c r="FI453" s="6"/>
      <c r="FJ453" s="6"/>
    </row>
    <row r="454" spans="1:166"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c r="CV454" s="6"/>
      <c r="CW454" s="6"/>
      <c r="CX454" s="6"/>
      <c r="CY454" s="6"/>
      <c r="CZ454" s="6"/>
      <c r="DA454" s="6"/>
      <c r="DB454" s="6"/>
      <c r="DC454" s="6"/>
      <c r="DD454" s="6"/>
      <c r="DE454" s="6"/>
      <c r="DF454" s="6"/>
      <c r="DG454" s="6"/>
      <c r="DH454" s="6"/>
      <c r="DI454" s="6"/>
      <c r="DJ454" s="6"/>
      <c r="DK454" s="6"/>
      <c r="DL454" s="6"/>
      <c r="DM454" s="6"/>
      <c r="DN454" s="6"/>
      <c r="DO454" s="6"/>
      <c r="DP454" s="6"/>
      <c r="DQ454" s="6"/>
      <c r="DR454" s="6"/>
      <c r="DS454" s="6"/>
      <c r="DT454" s="6"/>
      <c r="DU454" s="6"/>
      <c r="DV454" s="6"/>
      <c r="DW454" s="6"/>
      <c r="DX454" s="6"/>
      <c r="DY454" s="6"/>
      <c r="DZ454" s="6"/>
      <c r="EA454" s="6"/>
      <c r="EB454" s="6"/>
      <c r="EC454" s="6"/>
      <c r="ED454" s="6"/>
      <c r="EE454" s="6"/>
      <c r="EF454" s="6"/>
      <c r="EG454" s="6"/>
      <c r="EH454" s="6"/>
      <c r="EI454" s="6"/>
      <c r="EJ454" s="6"/>
      <c r="EK454" s="6"/>
      <c r="EL454" s="6"/>
      <c r="EM454" s="6"/>
      <c r="EN454" s="6"/>
      <c r="EO454" s="6"/>
      <c r="EP454" s="6"/>
      <c r="EQ454" s="6"/>
      <c r="ER454" s="6"/>
      <c r="ES454" s="6"/>
      <c r="ET454" s="6"/>
      <c r="EU454" s="6"/>
      <c r="EV454" s="6"/>
      <c r="EW454" s="6"/>
      <c r="EX454" s="6"/>
      <c r="EY454" s="6"/>
      <c r="EZ454" s="6"/>
      <c r="FA454" s="6"/>
      <c r="FB454" s="6"/>
      <c r="FC454" s="6"/>
      <c r="FD454" s="6"/>
      <c r="FE454" s="6"/>
      <c r="FF454" s="6"/>
      <c r="FG454" s="6"/>
      <c r="FH454" s="6"/>
      <c r="FI454" s="6"/>
      <c r="FJ454" s="6"/>
    </row>
    <row r="455" spans="1:166"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c r="CV455" s="6"/>
      <c r="CW455" s="6"/>
      <c r="CX455" s="6"/>
      <c r="CY455" s="6"/>
      <c r="CZ455" s="6"/>
      <c r="DA455" s="6"/>
      <c r="DB455" s="6"/>
      <c r="DC455" s="6"/>
      <c r="DD455" s="6"/>
      <c r="DE455" s="6"/>
      <c r="DF455" s="6"/>
      <c r="DG455" s="6"/>
      <c r="DH455" s="6"/>
      <c r="DI455" s="6"/>
      <c r="DJ455" s="6"/>
      <c r="DK455" s="6"/>
      <c r="DL455" s="6"/>
      <c r="DM455" s="6"/>
      <c r="DN455" s="6"/>
      <c r="DO455" s="6"/>
      <c r="DP455" s="6"/>
      <c r="DQ455" s="6"/>
      <c r="DR455" s="6"/>
      <c r="DS455" s="6"/>
      <c r="DT455" s="6"/>
      <c r="DU455" s="6"/>
      <c r="DV455" s="6"/>
      <c r="DW455" s="6"/>
      <c r="DX455" s="6"/>
      <c r="DY455" s="6"/>
      <c r="DZ455" s="6"/>
      <c r="EA455" s="6"/>
      <c r="EB455" s="6"/>
      <c r="EC455" s="6"/>
      <c r="ED455" s="6"/>
      <c r="EE455" s="6"/>
      <c r="EF455" s="6"/>
      <c r="EG455" s="6"/>
      <c r="EH455" s="6"/>
      <c r="EI455" s="6"/>
      <c r="EJ455" s="6"/>
      <c r="EK455" s="6"/>
      <c r="EL455" s="6"/>
      <c r="EM455" s="6"/>
      <c r="EN455" s="6"/>
      <c r="EO455" s="6"/>
      <c r="EP455" s="6"/>
      <c r="EQ455" s="6"/>
      <c r="ER455" s="6"/>
      <c r="ES455" s="6"/>
      <c r="ET455" s="6"/>
      <c r="EU455" s="6"/>
      <c r="EV455" s="6"/>
      <c r="EW455" s="6"/>
      <c r="EX455" s="6"/>
      <c r="EY455" s="6"/>
      <c r="EZ455" s="6"/>
      <c r="FA455" s="6"/>
      <c r="FB455" s="6"/>
      <c r="FC455" s="6"/>
      <c r="FD455" s="6"/>
      <c r="FE455" s="6"/>
      <c r="FF455" s="6"/>
      <c r="FG455" s="6"/>
      <c r="FH455" s="6"/>
      <c r="FI455" s="6"/>
      <c r="FJ455" s="6"/>
    </row>
    <row r="456" spans="1:166"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c r="CV456" s="6"/>
      <c r="CW456" s="6"/>
      <c r="CX456" s="6"/>
      <c r="CY456" s="6"/>
      <c r="CZ456" s="6"/>
      <c r="DA456" s="6"/>
      <c r="DB456" s="6"/>
      <c r="DC456" s="6"/>
      <c r="DD456" s="6"/>
      <c r="DE456" s="6"/>
      <c r="DF456" s="6"/>
      <c r="DG456" s="6"/>
      <c r="DH456" s="6"/>
      <c r="DI456" s="6"/>
      <c r="DJ456" s="6"/>
      <c r="DK456" s="6"/>
      <c r="DL456" s="6"/>
      <c r="DM456" s="6"/>
      <c r="DN456" s="6"/>
      <c r="DO456" s="6"/>
      <c r="DP456" s="6"/>
      <c r="DQ456" s="6"/>
      <c r="DR456" s="6"/>
      <c r="DS456" s="6"/>
      <c r="DT456" s="6"/>
      <c r="DU456" s="6"/>
      <c r="DV456" s="6"/>
      <c r="DW456" s="6"/>
      <c r="DX456" s="6"/>
      <c r="DY456" s="6"/>
      <c r="DZ456" s="6"/>
      <c r="EA456" s="6"/>
      <c r="EB456" s="6"/>
      <c r="EC456" s="6"/>
      <c r="ED456" s="6"/>
      <c r="EE456" s="6"/>
      <c r="EF456" s="6"/>
      <c r="EG456" s="6"/>
      <c r="EH456" s="6"/>
      <c r="EI456" s="6"/>
      <c r="EJ456" s="6"/>
      <c r="EK456" s="6"/>
      <c r="EL456" s="6"/>
      <c r="EM456" s="6"/>
      <c r="EN456" s="6"/>
      <c r="EO456" s="6"/>
      <c r="EP456" s="6"/>
      <c r="EQ456" s="6"/>
      <c r="ER456" s="6"/>
      <c r="ES456" s="6"/>
      <c r="ET456" s="6"/>
      <c r="EU456" s="6"/>
      <c r="EV456" s="6"/>
      <c r="EW456" s="6"/>
      <c r="EX456" s="6"/>
      <c r="EY456" s="6"/>
      <c r="EZ456" s="6"/>
      <c r="FA456" s="6"/>
      <c r="FB456" s="6"/>
      <c r="FC456" s="6"/>
      <c r="FD456" s="6"/>
      <c r="FE456" s="6"/>
      <c r="FF456" s="6"/>
      <c r="FG456" s="6"/>
      <c r="FH456" s="6"/>
      <c r="FI456" s="6"/>
      <c r="FJ456" s="6"/>
    </row>
    <row r="457" spans="1:166"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c r="CV457" s="6"/>
      <c r="CW457" s="6"/>
      <c r="CX457" s="6"/>
      <c r="CY457" s="6"/>
      <c r="CZ457" s="6"/>
      <c r="DA457" s="6"/>
      <c r="DB457" s="6"/>
      <c r="DC457" s="6"/>
      <c r="DD457" s="6"/>
      <c r="DE457" s="6"/>
      <c r="DF457" s="6"/>
      <c r="DG457" s="6"/>
      <c r="DH457" s="6"/>
      <c r="DI457" s="6"/>
      <c r="DJ457" s="6"/>
      <c r="DK457" s="6"/>
      <c r="DL457" s="6"/>
      <c r="DM457" s="6"/>
      <c r="DN457" s="6"/>
      <c r="DO457" s="6"/>
      <c r="DP457" s="6"/>
      <c r="DQ457" s="6"/>
      <c r="DR457" s="6"/>
      <c r="DS457" s="6"/>
      <c r="DT457" s="6"/>
      <c r="DU457" s="6"/>
      <c r="DV457" s="6"/>
      <c r="DW457" s="6"/>
      <c r="DX457" s="6"/>
      <c r="DY457" s="6"/>
      <c r="DZ457" s="6"/>
      <c r="EA457" s="6"/>
      <c r="EB457" s="6"/>
      <c r="EC457" s="6"/>
      <c r="ED457" s="6"/>
      <c r="EE457" s="6"/>
      <c r="EF457" s="6"/>
      <c r="EG457" s="6"/>
      <c r="EH457" s="6"/>
      <c r="EI457" s="6"/>
      <c r="EJ457" s="6"/>
      <c r="EK457" s="6"/>
      <c r="EL457" s="6"/>
      <c r="EM457" s="6"/>
      <c r="EN457" s="6"/>
      <c r="EO457" s="6"/>
      <c r="EP457" s="6"/>
      <c r="EQ457" s="6"/>
      <c r="ER457" s="6"/>
      <c r="ES457" s="6"/>
      <c r="ET457" s="6"/>
      <c r="EU457" s="6"/>
      <c r="EV457" s="6"/>
      <c r="EW457" s="6"/>
      <c r="EX457" s="6"/>
      <c r="EY457" s="6"/>
      <c r="EZ457" s="6"/>
      <c r="FA457" s="6"/>
      <c r="FB457" s="6"/>
      <c r="FC457" s="6"/>
      <c r="FD457" s="6"/>
      <c r="FE457" s="6"/>
      <c r="FF457" s="6"/>
      <c r="FG457" s="6"/>
      <c r="FH457" s="6"/>
      <c r="FI457" s="6"/>
      <c r="FJ457" s="6"/>
    </row>
    <row r="458" spans="1:166"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CW458" s="6"/>
      <c r="CX458" s="6"/>
      <c r="CY458" s="6"/>
      <c r="CZ458" s="6"/>
      <c r="DA458" s="6"/>
      <c r="DB458" s="6"/>
      <c r="DC458" s="6"/>
      <c r="DD458" s="6"/>
      <c r="DE458" s="6"/>
      <c r="DF458" s="6"/>
      <c r="DG458" s="6"/>
      <c r="DH458" s="6"/>
      <c r="DI458" s="6"/>
      <c r="DJ458" s="6"/>
      <c r="DK458" s="6"/>
      <c r="DL458" s="6"/>
      <c r="DM458" s="6"/>
      <c r="DN458" s="6"/>
      <c r="DO458" s="6"/>
      <c r="DP458" s="6"/>
      <c r="DQ458" s="6"/>
      <c r="DR458" s="6"/>
      <c r="DS458" s="6"/>
      <c r="DT458" s="6"/>
      <c r="DU458" s="6"/>
      <c r="DV458" s="6"/>
      <c r="DW458" s="6"/>
      <c r="DX458" s="6"/>
      <c r="DY458" s="6"/>
      <c r="DZ458" s="6"/>
      <c r="EA458" s="6"/>
      <c r="EB458" s="6"/>
      <c r="EC458" s="6"/>
      <c r="ED458" s="6"/>
      <c r="EE458" s="6"/>
      <c r="EF458" s="6"/>
      <c r="EG458" s="6"/>
      <c r="EH458" s="6"/>
      <c r="EI458" s="6"/>
      <c r="EJ458" s="6"/>
      <c r="EK458" s="6"/>
      <c r="EL458" s="6"/>
      <c r="EM458" s="6"/>
      <c r="EN458" s="6"/>
      <c r="EO458" s="6"/>
      <c r="EP458" s="6"/>
      <c r="EQ458" s="6"/>
      <c r="ER458" s="6"/>
      <c r="ES458" s="6"/>
      <c r="ET458" s="6"/>
      <c r="EU458" s="6"/>
      <c r="EV458" s="6"/>
      <c r="EW458" s="6"/>
      <c r="EX458" s="6"/>
      <c r="EY458" s="6"/>
      <c r="EZ458" s="6"/>
      <c r="FA458" s="6"/>
      <c r="FB458" s="6"/>
      <c r="FC458" s="6"/>
      <c r="FD458" s="6"/>
      <c r="FE458" s="6"/>
      <c r="FF458" s="6"/>
      <c r="FG458" s="6"/>
      <c r="FH458" s="6"/>
      <c r="FI458" s="6"/>
      <c r="FJ458" s="6"/>
    </row>
    <row r="459" spans="1:166"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c r="CV459" s="6"/>
      <c r="CW459" s="6"/>
      <c r="CX459" s="6"/>
      <c r="CY459" s="6"/>
      <c r="CZ459" s="6"/>
      <c r="DA459" s="6"/>
      <c r="DB459" s="6"/>
      <c r="DC459" s="6"/>
      <c r="DD459" s="6"/>
      <c r="DE459" s="6"/>
      <c r="DF459" s="6"/>
      <c r="DG459" s="6"/>
      <c r="DH459" s="6"/>
      <c r="DI459" s="6"/>
      <c r="DJ459" s="6"/>
      <c r="DK459" s="6"/>
      <c r="DL459" s="6"/>
      <c r="DM459" s="6"/>
      <c r="DN459" s="6"/>
      <c r="DO459" s="6"/>
      <c r="DP459" s="6"/>
      <c r="DQ459" s="6"/>
      <c r="DR459" s="6"/>
      <c r="DS459" s="6"/>
      <c r="DT459" s="6"/>
      <c r="DU459" s="6"/>
      <c r="DV459" s="6"/>
      <c r="DW459" s="6"/>
      <c r="DX459" s="6"/>
      <c r="DY459" s="6"/>
      <c r="DZ459" s="6"/>
      <c r="EA459" s="6"/>
      <c r="EB459" s="6"/>
      <c r="EC459" s="6"/>
      <c r="ED459" s="6"/>
      <c r="EE459" s="6"/>
      <c r="EF459" s="6"/>
      <c r="EG459" s="6"/>
      <c r="EH459" s="6"/>
      <c r="EI459" s="6"/>
      <c r="EJ459" s="6"/>
      <c r="EK459" s="6"/>
      <c r="EL459" s="6"/>
      <c r="EM459" s="6"/>
      <c r="EN459" s="6"/>
      <c r="EO459" s="6"/>
      <c r="EP459" s="6"/>
      <c r="EQ459" s="6"/>
      <c r="ER459" s="6"/>
      <c r="ES459" s="6"/>
      <c r="ET459" s="6"/>
      <c r="EU459" s="6"/>
      <c r="EV459" s="6"/>
      <c r="EW459" s="6"/>
      <c r="EX459" s="6"/>
      <c r="EY459" s="6"/>
      <c r="EZ459" s="6"/>
      <c r="FA459" s="6"/>
      <c r="FB459" s="6"/>
      <c r="FC459" s="6"/>
      <c r="FD459" s="6"/>
      <c r="FE459" s="6"/>
      <c r="FF459" s="6"/>
      <c r="FG459" s="6"/>
      <c r="FH459" s="6"/>
      <c r="FI459" s="6"/>
      <c r="FJ459" s="6"/>
    </row>
    <row r="460" spans="1:166"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c r="CV460" s="6"/>
      <c r="CW460" s="6"/>
      <c r="CX460" s="6"/>
      <c r="CY460" s="6"/>
      <c r="CZ460" s="6"/>
      <c r="DA460" s="6"/>
      <c r="DB460" s="6"/>
      <c r="DC460" s="6"/>
      <c r="DD460" s="6"/>
      <c r="DE460" s="6"/>
      <c r="DF460" s="6"/>
      <c r="DG460" s="6"/>
      <c r="DH460" s="6"/>
      <c r="DI460" s="6"/>
      <c r="DJ460" s="6"/>
      <c r="DK460" s="6"/>
      <c r="DL460" s="6"/>
      <c r="DM460" s="6"/>
      <c r="DN460" s="6"/>
      <c r="DO460" s="6"/>
      <c r="DP460" s="6"/>
      <c r="DQ460" s="6"/>
      <c r="DR460" s="6"/>
      <c r="DS460" s="6"/>
      <c r="DT460" s="6"/>
      <c r="DU460" s="6"/>
      <c r="DV460" s="6"/>
      <c r="DW460" s="6"/>
      <c r="DX460" s="6"/>
      <c r="DY460" s="6"/>
      <c r="DZ460" s="6"/>
      <c r="EA460" s="6"/>
      <c r="EB460" s="6"/>
      <c r="EC460" s="6"/>
      <c r="ED460" s="6"/>
      <c r="EE460" s="6"/>
      <c r="EF460" s="6"/>
      <c r="EG460" s="6"/>
      <c r="EH460" s="6"/>
      <c r="EI460" s="6"/>
      <c r="EJ460" s="6"/>
      <c r="EK460" s="6"/>
      <c r="EL460" s="6"/>
      <c r="EM460" s="6"/>
      <c r="EN460" s="6"/>
      <c r="EO460" s="6"/>
      <c r="EP460" s="6"/>
      <c r="EQ460" s="6"/>
      <c r="ER460" s="6"/>
      <c r="ES460" s="6"/>
      <c r="ET460" s="6"/>
      <c r="EU460" s="6"/>
      <c r="EV460" s="6"/>
      <c r="EW460" s="6"/>
      <c r="EX460" s="6"/>
      <c r="EY460" s="6"/>
      <c r="EZ460" s="6"/>
      <c r="FA460" s="6"/>
      <c r="FB460" s="6"/>
      <c r="FC460" s="6"/>
      <c r="FD460" s="6"/>
      <c r="FE460" s="6"/>
      <c r="FF460" s="6"/>
      <c r="FG460" s="6"/>
      <c r="FH460" s="6"/>
      <c r="FI460" s="6"/>
      <c r="FJ460" s="6"/>
    </row>
    <row r="461" spans="1:166"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c r="CV461" s="6"/>
      <c r="CW461" s="6"/>
      <c r="CX461" s="6"/>
      <c r="CY461" s="6"/>
      <c r="CZ461" s="6"/>
      <c r="DA461" s="6"/>
      <c r="DB461" s="6"/>
      <c r="DC461" s="6"/>
      <c r="DD461" s="6"/>
      <c r="DE461" s="6"/>
      <c r="DF461" s="6"/>
      <c r="DG461" s="6"/>
      <c r="DH461" s="6"/>
      <c r="DI461" s="6"/>
      <c r="DJ461" s="6"/>
      <c r="DK461" s="6"/>
      <c r="DL461" s="6"/>
      <c r="DM461" s="6"/>
      <c r="DN461" s="6"/>
      <c r="DO461" s="6"/>
      <c r="DP461" s="6"/>
      <c r="DQ461" s="6"/>
      <c r="DR461" s="6"/>
      <c r="DS461" s="6"/>
      <c r="DT461" s="6"/>
      <c r="DU461" s="6"/>
      <c r="DV461" s="6"/>
      <c r="DW461" s="6"/>
      <c r="DX461" s="6"/>
      <c r="DY461" s="6"/>
      <c r="DZ461" s="6"/>
      <c r="EA461" s="6"/>
      <c r="EB461" s="6"/>
      <c r="EC461" s="6"/>
      <c r="ED461" s="6"/>
      <c r="EE461" s="6"/>
      <c r="EF461" s="6"/>
      <c r="EG461" s="6"/>
      <c r="EH461" s="6"/>
      <c r="EI461" s="6"/>
      <c r="EJ461" s="6"/>
      <c r="EK461" s="6"/>
      <c r="EL461" s="6"/>
      <c r="EM461" s="6"/>
      <c r="EN461" s="6"/>
      <c r="EO461" s="6"/>
      <c r="EP461" s="6"/>
      <c r="EQ461" s="6"/>
      <c r="ER461" s="6"/>
      <c r="ES461" s="6"/>
      <c r="ET461" s="6"/>
      <c r="EU461" s="6"/>
      <c r="EV461" s="6"/>
      <c r="EW461" s="6"/>
      <c r="EX461" s="6"/>
      <c r="EY461" s="6"/>
      <c r="EZ461" s="6"/>
      <c r="FA461" s="6"/>
      <c r="FB461" s="6"/>
      <c r="FC461" s="6"/>
      <c r="FD461" s="6"/>
      <c r="FE461" s="6"/>
      <c r="FF461" s="6"/>
      <c r="FG461" s="6"/>
      <c r="FH461" s="6"/>
      <c r="FI461" s="6"/>
      <c r="FJ461" s="6"/>
    </row>
    <row r="462" spans="1:166"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c r="CV462" s="6"/>
      <c r="CW462" s="6"/>
      <c r="CX462" s="6"/>
      <c r="CY462" s="6"/>
      <c r="CZ462" s="6"/>
      <c r="DA462" s="6"/>
      <c r="DB462" s="6"/>
      <c r="DC462" s="6"/>
      <c r="DD462" s="6"/>
      <c r="DE462" s="6"/>
      <c r="DF462" s="6"/>
      <c r="DG462" s="6"/>
      <c r="DH462" s="6"/>
      <c r="DI462" s="6"/>
      <c r="DJ462" s="6"/>
      <c r="DK462" s="6"/>
      <c r="DL462" s="6"/>
      <c r="DM462" s="6"/>
      <c r="DN462" s="6"/>
      <c r="DO462" s="6"/>
      <c r="DP462" s="6"/>
      <c r="DQ462" s="6"/>
      <c r="DR462" s="6"/>
      <c r="DS462" s="6"/>
      <c r="DT462" s="6"/>
      <c r="DU462" s="6"/>
      <c r="DV462" s="6"/>
      <c r="DW462" s="6"/>
      <c r="DX462" s="6"/>
      <c r="DY462" s="6"/>
      <c r="DZ462" s="6"/>
      <c r="EA462" s="6"/>
      <c r="EB462" s="6"/>
      <c r="EC462" s="6"/>
      <c r="ED462" s="6"/>
      <c r="EE462" s="6"/>
      <c r="EF462" s="6"/>
      <c r="EG462" s="6"/>
      <c r="EH462" s="6"/>
      <c r="EI462" s="6"/>
      <c r="EJ462" s="6"/>
      <c r="EK462" s="6"/>
      <c r="EL462" s="6"/>
      <c r="EM462" s="6"/>
      <c r="EN462" s="6"/>
      <c r="EO462" s="6"/>
      <c r="EP462" s="6"/>
      <c r="EQ462" s="6"/>
      <c r="ER462" s="6"/>
      <c r="ES462" s="6"/>
      <c r="ET462" s="6"/>
      <c r="EU462" s="6"/>
      <c r="EV462" s="6"/>
      <c r="EW462" s="6"/>
      <c r="EX462" s="6"/>
      <c r="EY462" s="6"/>
      <c r="EZ462" s="6"/>
      <c r="FA462" s="6"/>
      <c r="FB462" s="6"/>
      <c r="FC462" s="6"/>
      <c r="FD462" s="6"/>
      <c r="FE462" s="6"/>
      <c r="FF462" s="6"/>
      <c r="FG462" s="6"/>
      <c r="FH462" s="6"/>
      <c r="FI462" s="6"/>
      <c r="FJ462" s="6"/>
    </row>
    <row r="463" spans="1:166"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c r="CV463" s="6"/>
      <c r="CW463" s="6"/>
      <c r="CX463" s="6"/>
      <c r="CY463" s="6"/>
      <c r="CZ463" s="6"/>
      <c r="DA463" s="6"/>
      <c r="DB463" s="6"/>
      <c r="DC463" s="6"/>
      <c r="DD463" s="6"/>
      <c r="DE463" s="6"/>
      <c r="DF463" s="6"/>
      <c r="DG463" s="6"/>
      <c r="DH463" s="6"/>
      <c r="DI463" s="6"/>
      <c r="DJ463" s="6"/>
      <c r="DK463" s="6"/>
      <c r="DL463" s="6"/>
      <c r="DM463" s="6"/>
      <c r="DN463" s="6"/>
      <c r="DO463" s="6"/>
      <c r="DP463" s="6"/>
      <c r="DQ463" s="6"/>
      <c r="DR463" s="6"/>
      <c r="DS463" s="6"/>
      <c r="DT463" s="6"/>
      <c r="DU463" s="6"/>
      <c r="DV463" s="6"/>
      <c r="DW463" s="6"/>
      <c r="DX463" s="6"/>
      <c r="DY463" s="6"/>
      <c r="DZ463" s="6"/>
      <c r="EA463" s="6"/>
      <c r="EB463" s="6"/>
      <c r="EC463" s="6"/>
      <c r="ED463" s="6"/>
      <c r="EE463" s="6"/>
      <c r="EF463" s="6"/>
      <c r="EG463" s="6"/>
      <c r="EH463" s="6"/>
      <c r="EI463" s="6"/>
      <c r="EJ463" s="6"/>
      <c r="EK463" s="6"/>
      <c r="EL463" s="6"/>
      <c r="EM463" s="6"/>
      <c r="EN463" s="6"/>
      <c r="EO463" s="6"/>
      <c r="EP463" s="6"/>
      <c r="EQ463" s="6"/>
      <c r="ER463" s="6"/>
      <c r="ES463" s="6"/>
      <c r="ET463" s="6"/>
      <c r="EU463" s="6"/>
      <c r="EV463" s="6"/>
      <c r="EW463" s="6"/>
      <c r="EX463" s="6"/>
      <c r="EY463" s="6"/>
      <c r="EZ463" s="6"/>
      <c r="FA463" s="6"/>
      <c r="FB463" s="6"/>
      <c r="FC463" s="6"/>
      <c r="FD463" s="6"/>
      <c r="FE463" s="6"/>
      <c r="FF463" s="6"/>
      <c r="FG463" s="6"/>
      <c r="FH463" s="6"/>
      <c r="FI463" s="6"/>
      <c r="FJ463" s="6"/>
    </row>
    <row r="464" spans="1:166"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c r="CV464" s="6"/>
      <c r="CW464" s="6"/>
      <c r="CX464" s="6"/>
      <c r="CY464" s="6"/>
      <c r="CZ464" s="6"/>
      <c r="DA464" s="6"/>
      <c r="DB464" s="6"/>
      <c r="DC464" s="6"/>
      <c r="DD464" s="6"/>
      <c r="DE464" s="6"/>
      <c r="DF464" s="6"/>
      <c r="DG464" s="6"/>
      <c r="DH464" s="6"/>
      <c r="DI464" s="6"/>
      <c r="DJ464" s="6"/>
      <c r="DK464" s="6"/>
      <c r="DL464" s="6"/>
      <c r="DM464" s="6"/>
      <c r="DN464" s="6"/>
      <c r="DO464" s="6"/>
      <c r="DP464" s="6"/>
      <c r="DQ464" s="6"/>
      <c r="DR464" s="6"/>
      <c r="DS464" s="6"/>
      <c r="DT464" s="6"/>
      <c r="DU464" s="6"/>
      <c r="DV464" s="6"/>
      <c r="DW464" s="6"/>
      <c r="DX464" s="6"/>
      <c r="DY464" s="6"/>
      <c r="DZ464" s="6"/>
      <c r="EA464" s="6"/>
      <c r="EB464" s="6"/>
      <c r="EC464" s="6"/>
      <c r="ED464" s="6"/>
      <c r="EE464" s="6"/>
      <c r="EF464" s="6"/>
      <c r="EG464" s="6"/>
      <c r="EH464" s="6"/>
      <c r="EI464" s="6"/>
      <c r="EJ464" s="6"/>
      <c r="EK464" s="6"/>
      <c r="EL464" s="6"/>
      <c r="EM464" s="6"/>
      <c r="EN464" s="6"/>
      <c r="EO464" s="6"/>
      <c r="EP464" s="6"/>
      <c r="EQ464" s="6"/>
      <c r="ER464" s="6"/>
      <c r="ES464" s="6"/>
      <c r="ET464" s="6"/>
      <c r="EU464" s="6"/>
      <c r="EV464" s="6"/>
      <c r="EW464" s="6"/>
      <c r="EX464" s="6"/>
      <c r="EY464" s="6"/>
      <c r="EZ464" s="6"/>
      <c r="FA464" s="6"/>
      <c r="FB464" s="6"/>
      <c r="FC464" s="6"/>
      <c r="FD464" s="6"/>
      <c r="FE464" s="6"/>
      <c r="FF464" s="6"/>
      <c r="FG464" s="6"/>
      <c r="FH464" s="6"/>
      <c r="FI464" s="6"/>
      <c r="FJ464" s="6"/>
    </row>
    <row r="465" spans="1:166"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c r="CV465" s="6"/>
      <c r="CW465" s="6"/>
      <c r="CX465" s="6"/>
      <c r="CY465" s="6"/>
      <c r="CZ465" s="6"/>
      <c r="DA465" s="6"/>
      <c r="DB465" s="6"/>
      <c r="DC465" s="6"/>
      <c r="DD465" s="6"/>
      <c r="DE465" s="6"/>
      <c r="DF465" s="6"/>
      <c r="DG465" s="6"/>
      <c r="DH465" s="6"/>
      <c r="DI465" s="6"/>
      <c r="DJ465" s="6"/>
      <c r="DK465" s="6"/>
      <c r="DL465" s="6"/>
      <c r="DM465" s="6"/>
      <c r="DN465" s="6"/>
      <c r="DO465" s="6"/>
      <c r="DP465" s="6"/>
      <c r="DQ465" s="6"/>
      <c r="DR465" s="6"/>
      <c r="DS465" s="6"/>
      <c r="DT465" s="6"/>
      <c r="DU465" s="6"/>
      <c r="DV465" s="6"/>
      <c r="DW465" s="6"/>
      <c r="DX465" s="6"/>
      <c r="DY465" s="6"/>
      <c r="DZ465" s="6"/>
      <c r="EA465" s="6"/>
      <c r="EB465" s="6"/>
      <c r="EC465" s="6"/>
      <c r="ED465" s="6"/>
      <c r="EE465" s="6"/>
      <c r="EF465" s="6"/>
      <c r="EG465" s="6"/>
      <c r="EH465" s="6"/>
      <c r="EI465" s="6"/>
      <c r="EJ465" s="6"/>
      <c r="EK465" s="6"/>
      <c r="EL465" s="6"/>
      <c r="EM465" s="6"/>
      <c r="EN465" s="6"/>
      <c r="EO465" s="6"/>
      <c r="EP465" s="6"/>
      <c r="EQ465" s="6"/>
      <c r="ER465" s="6"/>
      <c r="ES465" s="6"/>
      <c r="ET465" s="6"/>
      <c r="EU465" s="6"/>
      <c r="EV465" s="6"/>
      <c r="EW465" s="6"/>
      <c r="EX465" s="6"/>
      <c r="EY465" s="6"/>
      <c r="EZ465" s="6"/>
      <c r="FA465" s="6"/>
      <c r="FB465" s="6"/>
      <c r="FC465" s="6"/>
      <c r="FD465" s="6"/>
      <c r="FE465" s="6"/>
      <c r="FF465" s="6"/>
      <c r="FG465" s="6"/>
      <c r="FH465" s="6"/>
      <c r="FI465" s="6"/>
      <c r="FJ465" s="6"/>
    </row>
    <row r="466" spans="1:166"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c r="CV466" s="6"/>
      <c r="CW466" s="6"/>
      <c r="CX466" s="6"/>
      <c r="CY466" s="6"/>
      <c r="CZ466" s="6"/>
      <c r="DA466" s="6"/>
      <c r="DB466" s="6"/>
      <c r="DC466" s="6"/>
      <c r="DD466" s="6"/>
      <c r="DE466" s="6"/>
      <c r="DF466" s="6"/>
      <c r="DG466" s="6"/>
      <c r="DH466" s="6"/>
      <c r="DI466" s="6"/>
      <c r="DJ466" s="6"/>
      <c r="DK466" s="6"/>
      <c r="DL466" s="6"/>
      <c r="DM466" s="6"/>
      <c r="DN466" s="6"/>
      <c r="DO466" s="6"/>
      <c r="DP466" s="6"/>
      <c r="DQ466" s="6"/>
      <c r="DR466" s="6"/>
      <c r="DS466" s="6"/>
      <c r="DT466" s="6"/>
      <c r="DU466" s="6"/>
      <c r="DV466" s="6"/>
      <c r="DW466" s="6"/>
      <c r="DX466" s="6"/>
      <c r="DY466" s="6"/>
      <c r="DZ466" s="6"/>
      <c r="EA466" s="6"/>
      <c r="EB466" s="6"/>
      <c r="EC466" s="6"/>
      <c r="ED466" s="6"/>
      <c r="EE466" s="6"/>
      <c r="EF466" s="6"/>
      <c r="EG466" s="6"/>
      <c r="EH466" s="6"/>
      <c r="EI466" s="6"/>
      <c r="EJ466" s="6"/>
      <c r="EK466" s="6"/>
      <c r="EL466" s="6"/>
      <c r="EM466" s="6"/>
      <c r="EN466" s="6"/>
      <c r="EO466" s="6"/>
      <c r="EP466" s="6"/>
      <c r="EQ466" s="6"/>
      <c r="ER466" s="6"/>
      <c r="ES466" s="6"/>
      <c r="ET466" s="6"/>
      <c r="EU466" s="6"/>
      <c r="EV466" s="6"/>
      <c r="EW466" s="6"/>
      <c r="EX466" s="6"/>
      <c r="EY466" s="6"/>
      <c r="EZ466" s="6"/>
      <c r="FA466" s="6"/>
      <c r="FB466" s="6"/>
      <c r="FC466" s="6"/>
      <c r="FD466" s="6"/>
      <c r="FE466" s="6"/>
      <c r="FF466" s="6"/>
      <c r="FG466" s="6"/>
      <c r="FH466" s="6"/>
      <c r="FI466" s="6"/>
      <c r="FJ466" s="6"/>
    </row>
    <row r="467" spans="1:166"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c r="CV467" s="6"/>
      <c r="CW467" s="6"/>
      <c r="CX467" s="6"/>
      <c r="CY467" s="6"/>
      <c r="CZ467" s="6"/>
      <c r="DA467" s="6"/>
      <c r="DB467" s="6"/>
      <c r="DC467" s="6"/>
      <c r="DD467" s="6"/>
      <c r="DE467" s="6"/>
      <c r="DF467" s="6"/>
      <c r="DG467" s="6"/>
      <c r="DH467" s="6"/>
      <c r="DI467" s="6"/>
      <c r="DJ467" s="6"/>
      <c r="DK467" s="6"/>
      <c r="DL467" s="6"/>
      <c r="DM467" s="6"/>
      <c r="DN467" s="6"/>
      <c r="DO467" s="6"/>
      <c r="DP467" s="6"/>
      <c r="DQ467" s="6"/>
      <c r="DR467" s="6"/>
      <c r="DS467" s="6"/>
      <c r="DT467" s="6"/>
      <c r="DU467" s="6"/>
      <c r="DV467" s="6"/>
      <c r="DW467" s="6"/>
      <c r="DX467" s="6"/>
      <c r="DY467" s="6"/>
      <c r="DZ467" s="6"/>
      <c r="EA467" s="6"/>
      <c r="EB467" s="6"/>
      <c r="EC467" s="6"/>
      <c r="ED467" s="6"/>
      <c r="EE467" s="6"/>
      <c r="EF467" s="6"/>
      <c r="EG467" s="6"/>
      <c r="EH467" s="6"/>
      <c r="EI467" s="6"/>
      <c r="EJ467" s="6"/>
      <c r="EK467" s="6"/>
      <c r="EL467" s="6"/>
      <c r="EM467" s="6"/>
      <c r="EN467" s="6"/>
      <c r="EO467" s="6"/>
      <c r="EP467" s="6"/>
      <c r="EQ467" s="6"/>
      <c r="ER467" s="6"/>
      <c r="ES467" s="6"/>
      <c r="ET467" s="6"/>
      <c r="EU467" s="6"/>
      <c r="EV467" s="6"/>
      <c r="EW467" s="6"/>
      <c r="EX467" s="6"/>
      <c r="EY467" s="6"/>
      <c r="EZ467" s="6"/>
      <c r="FA467" s="6"/>
      <c r="FB467" s="6"/>
      <c r="FC467" s="6"/>
      <c r="FD467" s="6"/>
      <c r="FE467" s="6"/>
      <c r="FF467" s="6"/>
      <c r="FG467" s="6"/>
      <c r="FH467" s="6"/>
      <c r="FI467" s="6"/>
      <c r="FJ467" s="6"/>
    </row>
    <row r="468" spans="1:166"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c r="CV468" s="6"/>
      <c r="CW468" s="6"/>
      <c r="CX468" s="6"/>
      <c r="CY468" s="6"/>
      <c r="CZ468" s="6"/>
      <c r="DA468" s="6"/>
      <c r="DB468" s="6"/>
      <c r="DC468" s="6"/>
      <c r="DD468" s="6"/>
      <c r="DE468" s="6"/>
      <c r="DF468" s="6"/>
      <c r="DG468" s="6"/>
      <c r="DH468" s="6"/>
      <c r="DI468" s="6"/>
      <c r="DJ468" s="6"/>
      <c r="DK468" s="6"/>
      <c r="DL468" s="6"/>
      <c r="DM468" s="6"/>
      <c r="DN468" s="6"/>
      <c r="DO468" s="6"/>
      <c r="DP468" s="6"/>
      <c r="DQ468" s="6"/>
      <c r="DR468" s="6"/>
      <c r="DS468" s="6"/>
      <c r="DT468" s="6"/>
      <c r="DU468" s="6"/>
      <c r="DV468" s="6"/>
      <c r="DW468" s="6"/>
      <c r="DX468" s="6"/>
      <c r="DY468" s="6"/>
      <c r="DZ468" s="6"/>
      <c r="EA468" s="6"/>
      <c r="EB468" s="6"/>
      <c r="EC468" s="6"/>
      <c r="ED468" s="6"/>
      <c r="EE468" s="6"/>
      <c r="EF468" s="6"/>
      <c r="EG468" s="6"/>
      <c r="EH468" s="6"/>
      <c r="EI468" s="6"/>
      <c r="EJ468" s="6"/>
      <c r="EK468" s="6"/>
      <c r="EL468" s="6"/>
      <c r="EM468" s="6"/>
      <c r="EN468" s="6"/>
      <c r="EO468" s="6"/>
      <c r="EP468" s="6"/>
      <c r="EQ468" s="6"/>
      <c r="ER468" s="6"/>
      <c r="ES468" s="6"/>
      <c r="ET468" s="6"/>
      <c r="EU468" s="6"/>
      <c r="EV468" s="6"/>
      <c r="EW468" s="6"/>
      <c r="EX468" s="6"/>
      <c r="EY468" s="6"/>
      <c r="EZ468" s="6"/>
      <c r="FA468" s="6"/>
      <c r="FB468" s="6"/>
      <c r="FC468" s="6"/>
      <c r="FD468" s="6"/>
      <c r="FE468" s="6"/>
      <c r="FF468" s="6"/>
      <c r="FG468" s="6"/>
      <c r="FH468" s="6"/>
      <c r="FI468" s="6"/>
      <c r="FJ468" s="6"/>
    </row>
    <row r="469" spans="1:166"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c r="DJ469" s="6"/>
      <c r="DK469" s="6"/>
      <c r="DL469" s="6"/>
      <c r="DM469" s="6"/>
      <c r="DN469" s="6"/>
      <c r="DO469" s="6"/>
      <c r="DP469" s="6"/>
      <c r="DQ469" s="6"/>
      <c r="DR469" s="6"/>
      <c r="DS469" s="6"/>
      <c r="DT469" s="6"/>
      <c r="DU469" s="6"/>
      <c r="DV469" s="6"/>
      <c r="DW469" s="6"/>
      <c r="DX469" s="6"/>
      <c r="DY469" s="6"/>
      <c r="DZ469" s="6"/>
      <c r="EA469" s="6"/>
      <c r="EB469" s="6"/>
      <c r="EC469" s="6"/>
      <c r="ED469" s="6"/>
      <c r="EE469" s="6"/>
      <c r="EF469" s="6"/>
      <c r="EG469" s="6"/>
      <c r="EH469" s="6"/>
      <c r="EI469" s="6"/>
      <c r="EJ469" s="6"/>
      <c r="EK469" s="6"/>
      <c r="EL469" s="6"/>
      <c r="EM469" s="6"/>
      <c r="EN469" s="6"/>
      <c r="EO469" s="6"/>
      <c r="EP469" s="6"/>
      <c r="EQ469" s="6"/>
      <c r="ER469" s="6"/>
      <c r="ES469" s="6"/>
      <c r="ET469" s="6"/>
      <c r="EU469" s="6"/>
      <c r="EV469" s="6"/>
      <c r="EW469" s="6"/>
      <c r="EX469" s="6"/>
      <c r="EY469" s="6"/>
      <c r="EZ469" s="6"/>
      <c r="FA469" s="6"/>
      <c r="FB469" s="6"/>
      <c r="FC469" s="6"/>
      <c r="FD469" s="6"/>
      <c r="FE469" s="6"/>
      <c r="FF469" s="6"/>
      <c r="FG469" s="6"/>
      <c r="FH469" s="6"/>
      <c r="FI469" s="6"/>
      <c r="FJ469" s="6"/>
    </row>
    <row r="470" spans="1:166"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c r="DJ470" s="6"/>
      <c r="DK470" s="6"/>
      <c r="DL470" s="6"/>
      <c r="DM470" s="6"/>
      <c r="DN470" s="6"/>
      <c r="DO470" s="6"/>
      <c r="DP470" s="6"/>
      <c r="DQ470" s="6"/>
      <c r="DR470" s="6"/>
      <c r="DS470" s="6"/>
      <c r="DT470" s="6"/>
      <c r="DU470" s="6"/>
      <c r="DV470" s="6"/>
      <c r="DW470" s="6"/>
      <c r="DX470" s="6"/>
      <c r="DY470" s="6"/>
      <c r="DZ470" s="6"/>
      <c r="EA470" s="6"/>
      <c r="EB470" s="6"/>
      <c r="EC470" s="6"/>
      <c r="ED470" s="6"/>
      <c r="EE470" s="6"/>
      <c r="EF470" s="6"/>
      <c r="EG470" s="6"/>
      <c r="EH470" s="6"/>
      <c r="EI470" s="6"/>
      <c r="EJ470" s="6"/>
      <c r="EK470" s="6"/>
      <c r="EL470" s="6"/>
      <c r="EM470" s="6"/>
      <c r="EN470" s="6"/>
      <c r="EO470" s="6"/>
      <c r="EP470" s="6"/>
      <c r="EQ470" s="6"/>
      <c r="ER470" s="6"/>
      <c r="ES470" s="6"/>
      <c r="ET470" s="6"/>
      <c r="EU470" s="6"/>
      <c r="EV470" s="6"/>
      <c r="EW470" s="6"/>
      <c r="EX470" s="6"/>
      <c r="EY470" s="6"/>
      <c r="EZ470" s="6"/>
      <c r="FA470" s="6"/>
      <c r="FB470" s="6"/>
      <c r="FC470" s="6"/>
      <c r="FD470" s="6"/>
      <c r="FE470" s="6"/>
      <c r="FF470" s="6"/>
      <c r="FG470" s="6"/>
      <c r="FH470" s="6"/>
      <c r="FI470" s="6"/>
      <c r="FJ470" s="6"/>
    </row>
    <row r="471" spans="1:166"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c r="CV471" s="6"/>
      <c r="CW471" s="6"/>
      <c r="CX471" s="6"/>
      <c r="CY471" s="6"/>
      <c r="CZ471" s="6"/>
      <c r="DA471" s="6"/>
      <c r="DB471" s="6"/>
      <c r="DC471" s="6"/>
      <c r="DD471" s="6"/>
      <c r="DE471" s="6"/>
      <c r="DF471" s="6"/>
      <c r="DG471" s="6"/>
      <c r="DH471" s="6"/>
      <c r="DI471" s="6"/>
      <c r="DJ471" s="6"/>
      <c r="DK471" s="6"/>
      <c r="DL471" s="6"/>
      <c r="DM471" s="6"/>
      <c r="DN471" s="6"/>
      <c r="DO471" s="6"/>
      <c r="DP471" s="6"/>
      <c r="DQ471" s="6"/>
      <c r="DR471" s="6"/>
      <c r="DS471" s="6"/>
      <c r="DT471" s="6"/>
      <c r="DU471" s="6"/>
      <c r="DV471" s="6"/>
      <c r="DW471" s="6"/>
      <c r="DX471" s="6"/>
      <c r="DY471" s="6"/>
      <c r="DZ471" s="6"/>
      <c r="EA471" s="6"/>
      <c r="EB471" s="6"/>
      <c r="EC471" s="6"/>
      <c r="ED471" s="6"/>
      <c r="EE471" s="6"/>
      <c r="EF471" s="6"/>
      <c r="EG471" s="6"/>
      <c r="EH471" s="6"/>
      <c r="EI471" s="6"/>
      <c r="EJ471" s="6"/>
      <c r="EK471" s="6"/>
      <c r="EL471" s="6"/>
      <c r="EM471" s="6"/>
      <c r="EN471" s="6"/>
      <c r="EO471" s="6"/>
      <c r="EP471" s="6"/>
      <c r="EQ471" s="6"/>
      <c r="ER471" s="6"/>
      <c r="ES471" s="6"/>
      <c r="ET471" s="6"/>
      <c r="EU471" s="6"/>
      <c r="EV471" s="6"/>
      <c r="EW471" s="6"/>
      <c r="EX471" s="6"/>
      <c r="EY471" s="6"/>
      <c r="EZ471" s="6"/>
      <c r="FA471" s="6"/>
      <c r="FB471" s="6"/>
      <c r="FC471" s="6"/>
      <c r="FD471" s="6"/>
      <c r="FE471" s="6"/>
      <c r="FF471" s="6"/>
      <c r="FG471" s="6"/>
      <c r="FH471" s="6"/>
      <c r="FI471" s="6"/>
      <c r="FJ471" s="6"/>
    </row>
    <row r="472" spans="1:166"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c r="CV472" s="6"/>
      <c r="CW472" s="6"/>
      <c r="CX472" s="6"/>
      <c r="CY472" s="6"/>
      <c r="CZ472" s="6"/>
      <c r="DA472" s="6"/>
      <c r="DB472" s="6"/>
      <c r="DC472" s="6"/>
      <c r="DD472" s="6"/>
      <c r="DE472" s="6"/>
      <c r="DF472" s="6"/>
      <c r="DG472" s="6"/>
      <c r="DH472" s="6"/>
      <c r="DI472" s="6"/>
      <c r="DJ472" s="6"/>
      <c r="DK472" s="6"/>
      <c r="DL472" s="6"/>
      <c r="DM472" s="6"/>
      <c r="DN472" s="6"/>
      <c r="DO472" s="6"/>
      <c r="DP472" s="6"/>
      <c r="DQ472" s="6"/>
      <c r="DR472" s="6"/>
      <c r="DS472" s="6"/>
      <c r="DT472" s="6"/>
      <c r="DU472" s="6"/>
      <c r="DV472" s="6"/>
      <c r="DW472" s="6"/>
      <c r="DX472" s="6"/>
      <c r="DY472" s="6"/>
      <c r="DZ472" s="6"/>
      <c r="EA472" s="6"/>
      <c r="EB472" s="6"/>
      <c r="EC472" s="6"/>
      <c r="ED472" s="6"/>
      <c r="EE472" s="6"/>
      <c r="EF472" s="6"/>
      <c r="EG472" s="6"/>
      <c r="EH472" s="6"/>
      <c r="EI472" s="6"/>
      <c r="EJ472" s="6"/>
      <c r="EK472" s="6"/>
      <c r="EL472" s="6"/>
      <c r="EM472" s="6"/>
      <c r="EN472" s="6"/>
      <c r="EO472" s="6"/>
      <c r="EP472" s="6"/>
      <c r="EQ472" s="6"/>
      <c r="ER472" s="6"/>
      <c r="ES472" s="6"/>
      <c r="ET472" s="6"/>
      <c r="EU472" s="6"/>
      <c r="EV472" s="6"/>
      <c r="EW472" s="6"/>
      <c r="EX472" s="6"/>
      <c r="EY472" s="6"/>
      <c r="EZ472" s="6"/>
      <c r="FA472" s="6"/>
      <c r="FB472" s="6"/>
      <c r="FC472" s="6"/>
      <c r="FD472" s="6"/>
      <c r="FE472" s="6"/>
      <c r="FF472" s="6"/>
      <c r="FG472" s="6"/>
      <c r="FH472" s="6"/>
      <c r="FI472" s="6"/>
      <c r="FJ472" s="6"/>
    </row>
    <row r="473" spans="1:166"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c r="CV473" s="6"/>
      <c r="CW473" s="6"/>
      <c r="CX473" s="6"/>
      <c r="CY473" s="6"/>
      <c r="CZ473" s="6"/>
      <c r="DA473" s="6"/>
      <c r="DB473" s="6"/>
      <c r="DC473" s="6"/>
      <c r="DD473" s="6"/>
      <c r="DE473" s="6"/>
      <c r="DF473" s="6"/>
      <c r="DG473" s="6"/>
      <c r="DH473" s="6"/>
      <c r="DI473" s="6"/>
      <c r="DJ473" s="6"/>
      <c r="DK473" s="6"/>
      <c r="DL473" s="6"/>
      <c r="DM473" s="6"/>
      <c r="DN473" s="6"/>
      <c r="DO473" s="6"/>
      <c r="DP473" s="6"/>
      <c r="DQ473" s="6"/>
      <c r="DR473" s="6"/>
      <c r="DS473" s="6"/>
      <c r="DT473" s="6"/>
      <c r="DU473" s="6"/>
      <c r="DV473" s="6"/>
      <c r="DW473" s="6"/>
      <c r="DX473" s="6"/>
      <c r="DY473" s="6"/>
      <c r="DZ473" s="6"/>
      <c r="EA473" s="6"/>
      <c r="EB473" s="6"/>
      <c r="EC473" s="6"/>
      <c r="ED473" s="6"/>
      <c r="EE473" s="6"/>
      <c r="EF473" s="6"/>
      <c r="EG473" s="6"/>
      <c r="EH473" s="6"/>
      <c r="EI473" s="6"/>
      <c r="EJ473" s="6"/>
      <c r="EK473" s="6"/>
      <c r="EL473" s="6"/>
      <c r="EM473" s="6"/>
      <c r="EN473" s="6"/>
      <c r="EO473" s="6"/>
      <c r="EP473" s="6"/>
      <c r="EQ473" s="6"/>
      <c r="ER473" s="6"/>
      <c r="ES473" s="6"/>
      <c r="ET473" s="6"/>
      <c r="EU473" s="6"/>
      <c r="EV473" s="6"/>
      <c r="EW473" s="6"/>
      <c r="EX473" s="6"/>
      <c r="EY473" s="6"/>
      <c r="EZ473" s="6"/>
      <c r="FA473" s="6"/>
      <c r="FB473" s="6"/>
      <c r="FC473" s="6"/>
      <c r="FD473" s="6"/>
      <c r="FE473" s="6"/>
      <c r="FF473" s="6"/>
      <c r="FG473" s="6"/>
      <c r="FH473" s="6"/>
      <c r="FI473" s="6"/>
      <c r="FJ473" s="6"/>
    </row>
    <row r="474" spans="1:166"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c r="CV474" s="6"/>
      <c r="CW474" s="6"/>
      <c r="CX474" s="6"/>
      <c r="CY474" s="6"/>
      <c r="CZ474" s="6"/>
      <c r="DA474" s="6"/>
      <c r="DB474" s="6"/>
      <c r="DC474" s="6"/>
      <c r="DD474" s="6"/>
      <c r="DE474" s="6"/>
      <c r="DF474" s="6"/>
      <c r="DG474" s="6"/>
      <c r="DH474" s="6"/>
      <c r="DI474" s="6"/>
      <c r="DJ474" s="6"/>
      <c r="DK474" s="6"/>
      <c r="DL474" s="6"/>
      <c r="DM474" s="6"/>
      <c r="DN474" s="6"/>
      <c r="DO474" s="6"/>
      <c r="DP474" s="6"/>
      <c r="DQ474" s="6"/>
      <c r="DR474" s="6"/>
      <c r="DS474" s="6"/>
      <c r="DT474" s="6"/>
      <c r="DU474" s="6"/>
      <c r="DV474" s="6"/>
      <c r="DW474" s="6"/>
      <c r="DX474" s="6"/>
      <c r="DY474" s="6"/>
      <c r="DZ474" s="6"/>
      <c r="EA474" s="6"/>
      <c r="EB474" s="6"/>
      <c r="EC474" s="6"/>
      <c r="ED474" s="6"/>
      <c r="EE474" s="6"/>
      <c r="EF474" s="6"/>
      <c r="EG474" s="6"/>
      <c r="EH474" s="6"/>
      <c r="EI474" s="6"/>
      <c r="EJ474" s="6"/>
      <c r="EK474" s="6"/>
      <c r="EL474" s="6"/>
      <c r="EM474" s="6"/>
      <c r="EN474" s="6"/>
      <c r="EO474" s="6"/>
      <c r="EP474" s="6"/>
      <c r="EQ474" s="6"/>
      <c r="ER474" s="6"/>
      <c r="ES474" s="6"/>
      <c r="ET474" s="6"/>
      <c r="EU474" s="6"/>
      <c r="EV474" s="6"/>
      <c r="EW474" s="6"/>
      <c r="EX474" s="6"/>
      <c r="EY474" s="6"/>
      <c r="EZ474" s="6"/>
      <c r="FA474" s="6"/>
      <c r="FB474" s="6"/>
      <c r="FC474" s="6"/>
      <c r="FD474" s="6"/>
      <c r="FE474" s="6"/>
      <c r="FF474" s="6"/>
      <c r="FG474" s="6"/>
      <c r="FH474" s="6"/>
      <c r="FI474" s="6"/>
      <c r="FJ474" s="6"/>
    </row>
    <row r="475" spans="1:166"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CW475" s="6"/>
      <c r="CX475" s="6"/>
      <c r="CY475" s="6"/>
      <c r="CZ475" s="6"/>
      <c r="DA475" s="6"/>
      <c r="DB475" s="6"/>
      <c r="DC475" s="6"/>
      <c r="DD475" s="6"/>
      <c r="DE475" s="6"/>
      <c r="DF475" s="6"/>
      <c r="DG475" s="6"/>
      <c r="DH475" s="6"/>
      <c r="DI475" s="6"/>
      <c r="DJ475" s="6"/>
      <c r="DK475" s="6"/>
      <c r="DL475" s="6"/>
      <c r="DM475" s="6"/>
      <c r="DN475" s="6"/>
      <c r="DO475" s="6"/>
      <c r="DP475" s="6"/>
      <c r="DQ475" s="6"/>
      <c r="DR475" s="6"/>
      <c r="DS475" s="6"/>
      <c r="DT475" s="6"/>
      <c r="DU475" s="6"/>
      <c r="DV475" s="6"/>
      <c r="DW475" s="6"/>
      <c r="DX475" s="6"/>
      <c r="DY475" s="6"/>
      <c r="DZ475" s="6"/>
      <c r="EA475" s="6"/>
      <c r="EB475" s="6"/>
      <c r="EC475" s="6"/>
      <c r="ED475" s="6"/>
      <c r="EE475" s="6"/>
      <c r="EF475" s="6"/>
      <c r="EG475" s="6"/>
      <c r="EH475" s="6"/>
      <c r="EI475" s="6"/>
      <c r="EJ475" s="6"/>
      <c r="EK475" s="6"/>
      <c r="EL475" s="6"/>
      <c r="EM475" s="6"/>
      <c r="EN475" s="6"/>
      <c r="EO475" s="6"/>
      <c r="EP475" s="6"/>
      <c r="EQ475" s="6"/>
      <c r="ER475" s="6"/>
      <c r="ES475" s="6"/>
      <c r="ET475" s="6"/>
      <c r="EU475" s="6"/>
      <c r="EV475" s="6"/>
      <c r="EW475" s="6"/>
      <c r="EX475" s="6"/>
      <c r="EY475" s="6"/>
      <c r="EZ475" s="6"/>
      <c r="FA475" s="6"/>
      <c r="FB475" s="6"/>
      <c r="FC475" s="6"/>
      <c r="FD475" s="6"/>
      <c r="FE475" s="6"/>
      <c r="FF475" s="6"/>
      <c r="FG475" s="6"/>
      <c r="FH475" s="6"/>
      <c r="FI475" s="6"/>
      <c r="FJ475" s="6"/>
    </row>
    <row r="476" spans="1:166"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c r="CV476" s="6"/>
      <c r="CW476" s="6"/>
      <c r="CX476" s="6"/>
      <c r="CY476" s="6"/>
      <c r="CZ476" s="6"/>
      <c r="DA476" s="6"/>
      <c r="DB476" s="6"/>
      <c r="DC476" s="6"/>
      <c r="DD476" s="6"/>
      <c r="DE476" s="6"/>
      <c r="DF476" s="6"/>
      <c r="DG476" s="6"/>
      <c r="DH476" s="6"/>
      <c r="DI476" s="6"/>
      <c r="DJ476" s="6"/>
      <c r="DK476" s="6"/>
      <c r="DL476" s="6"/>
      <c r="DM476" s="6"/>
      <c r="DN476" s="6"/>
      <c r="DO476" s="6"/>
      <c r="DP476" s="6"/>
      <c r="DQ476" s="6"/>
      <c r="DR476" s="6"/>
      <c r="DS476" s="6"/>
      <c r="DT476" s="6"/>
      <c r="DU476" s="6"/>
      <c r="DV476" s="6"/>
      <c r="DW476" s="6"/>
      <c r="DX476" s="6"/>
      <c r="DY476" s="6"/>
      <c r="DZ476" s="6"/>
      <c r="EA476" s="6"/>
      <c r="EB476" s="6"/>
      <c r="EC476" s="6"/>
      <c r="ED476" s="6"/>
      <c r="EE476" s="6"/>
      <c r="EF476" s="6"/>
      <c r="EG476" s="6"/>
      <c r="EH476" s="6"/>
      <c r="EI476" s="6"/>
      <c r="EJ476" s="6"/>
      <c r="EK476" s="6"/>
      <c r="EL476" s="6"/>
      <c r="EM476" s="6"/>
      <c r="EN476" s="6"/>
      <c r="EO476" s="6"/>
      <c r="EP476" s="6"/>
      <c r="EQ476" s="6"/>
      <c r="ER476" s="6"/>
      <c r="ES476" s="6"/>
      <c r="ET476" s="6"/>
      <c r="EU476" s="6"/>
      <c r="EV476" s="6"/>
      <c r="EW476" s="6"/>
      <c r="EX476" s="6"/>
      <c r="EY476" s="6"/>
      <c r="EZ476" s="6"/>
      <c r="FA476" s="6"/>
      <c r="FB476" s="6"/>
      <c r="FC476" s="6"/>
      <c r="FD476" s="6"/>
      <c r="FE476" s="6"/>
      <c r="FF476" s="6"/>
      <c r="FG476" s="6"/>
      <c r="FH476" s="6"/>
      <c r="FI476" s="6"/>
      <c r="FJ476" s="6"/>
    </row>
    <row r="477" spans="1:166"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c r="CV477" s="6"/>
      <c r="CW477" s="6"/>
      <c r="CX477" s="6"/>
      <c r="CY477" s="6"/>
      <c r="CZ477" s="6"/>
      <c r="DA477" s="6"/>
      <c r="DB477" s="6"/>
      <c r="DC477" s="6"/>
      <c r="DD477" s="6"/>
      <c r="DE477" s="6"/>
      <c r="DF477" s="6"/>
      <c r="DG477" s="6"/>
      <c r="DH477" s="6"/>
      <c r="DI477" s="6"/>
      <c r="DJ477" s="6"/>
      <c r="DK477" s="6"/>
      <c r="DL477" s="6"/>
      <c r="DM477" s="6"/>
      <c r="DN477" s="6"/>
      <c r="DO477" s="6"/>
      <c r="DP477" s="6"/>
      <c r="DQ477" s="6"/>
      <c r="DR477" s="6"/>
      <c r="DS477" s="6"/>
      <c r="DT477" s="6"/>
      <c r="DU477" s="6"/>
      <c r="DV477" s="6"/>
      <c r="DW477" s="6"/>
      <c r="DX477" s="6"/>
      <c r="DY477" s="6"/>
      <c r="DZ477" s="6"/>
      <c r="EA477" s="6"/>
      <c r="EB477" s="6"/>
      <c r="EC477" s="6"/>
      <c r="ED477" s="6"/>
      <c r="EE477" s="6"/>
      <c r="EF477" s="6"/>
      <c r="EG477" s="6"/>
      <c r="EH477" s="6"/>
      <c r="EI477" s="6"/>
      <c r="EJ477" s="6"/>
      <c r="EK477" s="6"/>
      <c r="EL477" s="6"/>
      <c r="EM477" s="6"/>
      <c r="EN477" s="6"/>
      <c r="EO477" s="6"/>
      <c r="EP477" s="6"/>
      <c r="EQ477" s="6"/>
      <c r="ER477" s="6"/>
      <c r="ES477" s="6"/>
      <c r="ET477" s="6"/>
      <c r="EU477" s="6"/>
      <c r="EV477" s="6"/>
      <c r="EW477" s="6"/>
      <c r="EX477" s="6"/>
      <c r="EY477" s="6"/>
      <c r="EZ477" s="6"/>
      <c r="FA477" s="6"/>
      <c r="FB477" s="6"/>
      <c r="FC477" s="6"/>
      <c r="FD477" s="6"/>
      <c r="FE477" s="6"/>
      <c r="FF477" s="6"/>
      <c r="FG477" s="6"/>
      <c r="FH477" s="6"/>
      <c r="FI477" s="6"/>
      <c r="FJ477" s="6"/>
    </row>
    <row r="478" spans="1:166"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c r="CV478" s="6"/>
      <c r="CW478" s="6"/>
      <c r="CX478" s="6"/>
      <c r="CY478" s="6"/>
      <c r="CZ478" s="6"/>
      <c r="DA478" s="6"/>
      <c r="DB478" s="6"/>
      <c r="DC478" s="6"/>
      <c r="DD478" s="6"/>
      <c r="DE478" s="6"/>
      <c r="DF478" s="6"/>
      <c r="DG478" s="6"/>
      <c r="DH478" s="6"/>
      <c r="DI478" s="6"/>
      <c r="DJ478" s="6"/>
      <c r="DK478" s="6"/>
      <c r="DL478" s="6"/>
      <c r="DM478" s="6"/>
      <c r="DN478" s="6"/>
      <c r="DO478" s="6"/>
      <c r="DP478" s="6"/>
      <c r="DQ478" s="6"/>
      <c r="DR478" s="6"/>
      <c r="DS478" s="6"/>
      <c r="DT478" s="6"/>
      <c r="DU478" s="6"/>
      <c r="DV478" s="6"/>
      <c r="DW478" s="6"/>
      <c r="DX478" s="6"/>
      <c r="DY478" s="6"/>
      <c r="DZ478" s="6"/>
      <c r="EA478" s="6"/>
      <c r="EB478" s="6"/>
      <c r="EC478" s="6"/>
      <c r="ED478" s="6"/>
      <c r="EE478" s="6"/>
      <c r="EF478" s="6"/>
      <c r="EG478" s="6"/>
      <c r="EH478" s="6"/>
      <c r="EI478" s="6"/>
      <c r="EJ478" s="6"/>
      <c r="EK478" s="6"/>
      <c r="EL478" s="6"/>
      <c r="EM478" s="6"/>
      <c r="EN478" s="6"/>
      <c r="EO478" s="6"/>
      <c r="EP478" s="6"/>
      <c r="EQ478" s="6"/>
      <c r="ER478" s="6"/>
      <c r="ES478" s="6"/>
      <c r="ET478" s="6"/>
      <c r="EU478" s="6"/>
      <c r="EV478" s="6"/>
      <c r="EW478" s="6"/>
      <c r="EX478" s="6"/>
      <c r="EY478" s="6"/>
      <c r="EZ478" s="6"/>
      <c r="FA478" s="6"/>
      <c r="FB478" s="6"/>
      <c r="FC478" s="6"/>
      <c r="FD478" s="6"/>
      <c r="FE478" s="6"/>
      <c r="FF478" s="6"/>
      <c r="FG478" s="6"/>
      <c r="FH478" s="6"/>
      <c r="FI478" s="6"/>
      <c r="FJ478" s="6"/>
    </row>
    <row r="479" spans="1:166"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CW479" s="6"/>
      <c r="CX479" s="6"/>
      <c r="CY479" s="6"/>
      <c r="CZ479" s="6"/>
      <c r="DA479" s="6"/>
      <c r="DB479" s="6"/>
      <c r="DC479" s="6"/>
      <c r="DD479" s="6"/>
      <c r="DE479" s="6"/>
      <c r="DF479" s="6"/>
      <c r="DG479" s="6"/>
      <c r="DH479" s="6"/>
      <c r="DI479" s="6"/>
      <c r="DJ479" s="6"/>
      <c r="DK479" s="6"/>
      <c r="DL479" s="6"/>
      <c r="DM479" s="6"/>
      <c r="DN479" s="6"/>
      <c r="DO479" s="6"/>
      <c r="DP479" s="6"/>
      <c r="DQ479" s="6"/>
      <c r="DR479" s="6"/>
      <c r="DS479" s="6"/>
      <c r="DT479" s="6"/>
      <c r="DU479" s="6"/>
      <c r="DV479" s="6"/>
      <c r="DW479" s="6"/>
      <c r="DX479" s="6"/>
      <c r="DY479" s="6"/>
      <c r="DZ479" s="6"/>
      <c r="EA479" s="6"/>
      <c r="EB479" s="6"/>
      <c r="EC479" s="6"/>
      <c r="ED479" s="6"/>
      <c r="EE479" s="6"/>
      <c r="EF479" s="6"/>
      <c r="EG479" s="6"/>
      <c r="EH479" s="6"/>
      <c r="EI479" s="6"/>
      <c r="EJ479" s="6"/>
      <c r="EK479" s="6"/>
      <c r="EL479" s="6"/>
      <c r="EM479" s="6"/>
      <c r="EN479" s="6"/>
      <c r="EO479" s="6"/>
      <c r="EP479" s="6"/>
      <c r="EQ479" s="6"/>
      <c r="ER479" s="6"/>
      <c r="ES479" s="6"/>
      <c r="ET479" s="6"/>
      <c r="EU479" s="6"/>
      <c r="EV479" s="6"/>
      <c r="EW479" s="6"/>
      <c r="EX479" s="6"/>
      <c r="EY479" s="6"/>
      <c r="EZ479" s="6"/>
      <c r="FA479" s="6"/>
      <c r="FB479" s="6"/>
      <c r="FC479" s="6"/>
      <c r="FD479" s="6"/>
      <c r="FE479" s="6"/>
      <c r="FF479" s="6"/>
      <c r="FG479" s="6"/>
      <c r="FH479" s="6"/>
      <c r="FI479" s="6"/>
      <c r="FJ479" s="6"/>
    </row>
    <row r="480" spans="1:166"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CW480" s="6"/>
      <c r="CX480" s="6"/>
      <c r="CY480" s="6"/>
      <c r="CZ480" s="6"/>
      <c r="DA480" s="6"/>
      <c r="DB480" s="6"/>
      <c r="DC480" s="6"/>
      <c r="DD480" s="6"/>
      <c r="DE480" s="6"/>
      <c r="DF480" s="6"/>
      <c r="DG480" s="6"/>
      <c r="DH480" s="6"/>
      <c r="DI480" s="6"/>
      <c r="DJ480" s="6"/>
      <c r="DK480" s="6"/>
      <c r="DL480" s="6"/>
      <c r="DM480" s="6"/>
      <c r="DN480" s="6"/>
      <c r="DO480" s="6"/>
      <c r="DP480" s="6"/>
      <c r="DQ480" s="6"/>
      <c r="DR480" s="6"/>
      <c r="DS480" s="6"/>
      <c r="DT480" s="6"/>
      <c r="DU480" s="6"/>
      <c r="DV480" s="6"/>
      <c r="DW480" s="6"/>
      <c r="DX480" s="6"/>
      <c r="DY480" s="6"/>
      <c r="DZ480" s="6"/>
      <c r="EA480" s="6"/>
      <c r="EB480" s="6"/>
      <c r="EC480" s="6"/>
      <c r="ED480" s="6"/>
      <c r="EE480" s="6"/>
      <c r="EF480" s="6"/>
      <c r="EG480" s="6"/>
      <c r="EH480" s="6"/>
      <c r="EI480" s="6"/>
      <c r="EJ480" s="6"/>
      <c r="EK480" s="6"/>
      <c r="EL480" s="6"/>
      <c r="EM480" s="6"/>
      <c r="EN480" s="6"/>
      <c r="EO480" s="6"/>
      <c r="EP480" s="6"/>
      <c r="EQ480" s="6"/>
      <c r="ER480" s="6"/>
      <c r="ES480" s="6"/>
      <c r="ET480" s="6"/>
      <c r="EU480" s="6"/>
      <c r="EV480" s="6"/>
      <c r="EW480" s="6"/>
      <c r="EX480" s="6"/>
      <c r="EY480" s="6"/>
      <c r="EZ480" s="6"/>
      <c r="FA480" s="6"/>
      <c r="FB480" s="6"/>
      <c r="FC480" s="6"/>
      <c r="FD480" s="6"/>
      <c r="FE480" s="6"/>
      <c r="FF480" s="6"/>
      <c r="FG480" s="6"/>
      <c r="FH480" s="6"/>
      <c r="FI480" s="6"/>
      <c r="FJ480" s="6"/>
    </row>
    <row r="481" spans="1:166"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6"/>
      <c r="DL481" s="6"/>
      <c r="DM481" s="6"/>
      <c r="DN481" s="6"/>
      <c r="DO481" s="6"/>
      <c r="DP481" s="6"/>
      <c r="DQ481" s="6"/>
      <c r="DR481" s="6"/>
      <c r="DS481" s="6"/>
      <c r="DT481" s="6"/>
      <c r="DU481" s="6"/>
      <c r="DV481" s="6"/>
      <c r="DW481" s="6"/>
      <c r="DX481" s="6"/>
      <c r="DY481" s="6"/>
      <c r="DZ481" s="6"/>
      <c r="EA481" s="6"/>
      <c r="EB481" s="6"/>
      <c r="EC481" s="6"/>
      <c r="ED481" s="6"/>
      <c r="EE481" s="6"/>
      <c r="EF481" s="6"/>
      <c r="EG481" s="6"/>
      <c r="EH481" s="6"/>
      <c r="EI481" s="6"/>
      <c r="EJ481" s="6"/>
      <c r="EK481" s="6"/>
      <c r="EL481" s="6"/>
      <c r="EM481" s="6"/>
      <c r="EN481" s="6"/>
      <c r="EO481" s="6"/>
      <c r="EP481" s="6"/>
      <c r="EQ481" s="6"/>
      <c r="ER481" s="6"/>
      <c r="ES481" s="6"/>
      <c r="ET481" s="6"/>
      <c r="EU481" s="6"/>
      <c r="EV481" s="6"/>
      <c r="EW481" s="6"/>
      <c r="EX481" s="6"/>
      <c r="EY481" s="6"/>
      <c r="EZ481" s="6"/>
      <c r="FA481" s="6"/>
      <c r="FB481" s="6"/>
      <c r="FC481" s="6"/>
      <c r="FD481" s="6"/>
      <c r="FE481" s="6"/>
      <c r="FF481" s="6"/>
      <c r="FG481" s="6"/>
      <c r="FH481" s="6"/>
      <c r="FI481" s="6"/>
      <c r="FJ481" s="6"/>
    </row>
    <row r="482" spans="1:166"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6"/>
      <c r="ED482" s="6"/>
      <c r="EE482" s="6"/>
      <c r="EF482" s="6"/>
      <c r="EG482" s="6"/>
      <c r="EH482" s="6"/>
      <c r="EI482" s="6"/>
      <c r="EJ482" s="6"/>
      <c r="EK482" s="6"/>
      <c r="EL482" s="6"/>
      <c r="EM482" s="6"/>
      <c r="EN482" s="6"/>
      <c r="EO482" s="6"/>
      <c r="EP482" s="6"/>
      <c r="EQ482" s="6"/>
      <c r="ER482" s="6"/>
      <c r="ES482" s="6"/>
      <c r="ET482" s="6"/>
      <c r="EU482" s="6"/>
      <c r="EV482" s="6"/>
      <c r="EW482" s="6"/>
      <c r="EX482" s="6"/>
      <c r="EY482" s="6"/>
      <c r="EZ482" s="6"/>
      <c r="FA482" s="6"/>
      <c r="FB482" s="6"/>
      <c r="FC482" s="6"/>
      <c r="FD482" s="6"/>
      <c r="FE482" s="6"/>
      <c r="FF482" s="6"/>
      <c r="FG482" s="6"/>
      <c r="FH482" s="6"/>
      <c r="FI482" s="6"/>
      <c r="FJ482" s="6"/>
    </row>
    <row r="483" spans="1:166"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6"/>
      <c r="EC483" s="6"/>
      <c r="ED483" s="6"/>
      <c r="EE483" s="6"/>
      <c r="EF483" s="6"/>
      <c r="EG483" s="6"/>
      <c r="EH483" s="6"/>
      <c r="EI483" s="6"/>
      <c r="EJ483" s="6"/>
      <c r="EK483" s="6"/>
      <c r="EL483" s="6"/>
      <c r="EM483" s="6"/>
      <c r="EN483" s="6"/>
      <c r="EO483" s="6"/>
      <c r="EP483" s="6"/>
      <c r="EQ483" s="6"/>
      <c r="ER483" s="6"/>
      <c r="ES483" s="6"/>
      <c r="ET483" s="6"/>
      <c r="EU483" s="6"/>
      <c r="EV483" s="6"/>
      <c r="EW483" s="6"/>
      <c r="EX483" s="6"/>
      <c r="EY483" s="6"/>
      <c r="EZ483" s="6"/>
      <c r="FA483" s="6"/>
      <c r="FB483" s="6"/>
      <c r="FC483" s="6"/>
      <c r="FD483" s="6"/>
      <c r="FE483" s="6"/>
      <c r="FF483" s="6"/>
      <c r="FG483" s="6"/>
      <c r="FH483" s="6"/>
      <c r="FI483" s="6"/>
      <c r="FJ483" s="6"/>
    </row>
    <row r="484" spans="1:166"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6"/>
      <c r="EC484" s="6"/>
      <c r="ED484" s="6"/>
      <c r="EE484" s="6"/>
      <c r="EF484" s="6"/>
      <c r="EG484" s="6"/>
      <c r="EH484" s="6"/>
      <c r="EI484" s="6"/>
      <c r="EJ484" s="6"/>
      <c r="EK484" s="6"/>
      <c r="EL484" s="6"/>
      <c r="EM484" s="6"/>
      <c r="EN484" s="6"/>
      <c r="EO484" s="6"/>
      <c r="EP484" s="6"/>
      <c r="EQ484" s="6"/>
      <c r="ER484" s="6"/>
      <c r="ES484" s="6"/>
      <c r="ET484" s="6"/>
      <c r="EU484" s="6"/>
      <c r="EV484" s="6"/>
      <c r="EW484" s="6"/>
      <c r="EX484" s="6"/>
      <c r="EY484" s="6"/>
      <c r="EZ484" s="6"/>
      <c r="FA484" s="6"/>
      <c r="FB484" s="6"/>
      <c r="FC484" s="6"/>
      <c r="FD484" s="6"/>
      <c r="FE484" s="6"/>
      <c r="FF484" s="6"/>
      <c r="FG484" s="6"/>
      <c r="FH484" s="6"/>
      <c r="FI484" s="6"/>
      <c r="FJ484" s="6"/>
    </row>
    <row r="485" spans="1:166"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6"/>
      <c r="EC485" s="6"/>
      <c r="ED485" s="6"/>
      <c r="EE485" s="6"/>
      <c r="EF485" s="6"/>
      <c r="EG485" s="6"/>
      <c r="EH485" s="6"/>
      <c r="EI485" s="6"/>
      <c r="EJ485" s="6"/>
      <c r="EK485" s="6"/>
      <c r="EL485" s="6"/>
      <c r="EM485" s="6"/>
      <c r="EN485" s="6"/>
      <c r="EO485" s="6"/>
      <c r="EP485" s="6"/>
      <c r="EQ485" s="6"/>
      <c r="ER485" s="6"/>
      <c r="ES485" s="6"/>
      <c r="ET485" s="6"/>
      <c r="EU485" s="6"/>
      <c r="EV485" s="6"/>
      <c r="EW485" s="6"/>
      <c r="EX485" s="6"/>
      <c r="EY485" s="6"/>
      <c r="EZ485" s="6"/>
      <c r="FA485" s="6"/>
      <c r="FB485" s="6"/>
      <c r="FC485" s="6"/>
      <c r="FD485" s="6"/>
      <c r="FE485" s="6"/>
      <c r="FF485" s="6"/>
      <c r="FG485" s="6"/>
      <c r="FH485" s="6"/>
      <c r="FI485" s="6"/>
      <c r="FJ485" s="6"/>
    </row>
    <row r="486" spans="1:166"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6"/>
      <c r="EC486" s="6"/>
      <c r="ED486" s="6"/>
      <c r="EE486" s="6"/>
      <c r="EF486" s="6"/>
      <c r="EG486" s="6"/>
      <c r="EH486" s="6"/>
      <c r="EI486" s="6"/>
      <c r="EJ486" s="6"/>
      <c r="EK486" s="6"/>
      <c r="EL486" s="6"/>
      <c r="EM486" s="6"/>
      <c r="EN486" s="6"/>
      <c r="EO486" s="6"/>
      <c r="EP486" s="6"/>
      <c r="EQ486" s="6"/>
      <c r="ER486" s="6"/>
      <c r="ES486" s="6"/>
      <c r="ET486" s="6"/>
      <c r="EU486" s="6"/>
      <c r="EV486" s="6"/>
      <c r="EW486" s="6"/>
      <c r="EX486" s="6"/>
      <c r="EY486" s="6"/>
      <c r="EZ486" s="6"/>
      <c r="FA486" s="6"/>
      <c r="FB486" s="6"/>
      <c r="FC486" s="6"/>
      <c r="FD486" s="6"/>
      <c r="FE486" s="6"/>
      <c r="FF486" s="6"/>
      <c r="FG486" s="6"/>
      <c r="FH486" s="6"/>
      <c r="FI486" s="6"/>
      <c r="FJ486" s="6"/>
    </row>
    <row r="487" spans="1:166"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6"/>
      <c r="EC487" s="6"/>
      <c r="ED487" s="6"/>
      <c r="EE487" s="6"/>
      <c r="EF487" s="6"/>
      <c r="EG487" s="6"/>
      <c r="EH487" s="6"/>
      <c r="EI487" s="6"/>
      <c r="EJ487" s="6"/>
      <c r="EK487" s="6"/>
      <c r="EL487" s="6"/>
      <c r="EM487" s="6"/>
      <c r="EN487" s="6"/>
      <c r="EO487" s="6"/>
      <c r="EP487" s="6"/>
      <c r="EQ487" s="6"/>
      <c r="ER487" s="6"/>
      <c r="ES487" s="6"/>
      <c r="ET487" s="6"/>
      <c r="EU487" s="6"/>
      <c r="EV487" s="6"/>
      <c r="EW487" s="6"/>
      <c r="EX487" s="6"/>
      <c r="EY487" s="6"/>
      <c r="EZ487" s="6"/>
      <c r="FA487" s="6"/>
      <c r="FB487" s="6"/>
      <c r="FC487" s="6"/>
      <c r="FD487" s="6"/>
      <c r="FE487" s="6"/>
      <c r="FF487" s="6"/>
      <c r="FG487" s="6"/>
      <c r="FH487" s="6"/>
      <c r="FI487" s="6"/>
      <c r="FJ487" s="6"/>
    </row>
    <row r="488" spans="1:166"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c r="DJ488" s="6"/>
      <c r="DK488" s="6"/>
      <c r="DL488" s="6"/>
      <c r="DM488" s="6"/>
      <c r="DN488" s="6"/>
      <c r="DO488" s="6"/>
      <c r="DP488" s="6"/>
      <c r="DQ488" s="6"/>
      <c r="DR488" s="6"/>
      <c r="DS488" s="6"/>
      <c r="DT488" s="6"/>
      <c r="DU488" s="6"/>
      <c r="DV488" s="6"/>
      <c r="DW488" s="6"/>
      <c r="DX488" s="6"/>
      <c r="DY488" s="6"/>
      <c r="DZ488" s="6"/>
      <c r="EA488" s="6"/>
      <c r="EB488" s="6"/>
      <c r="EC488" s="6"/>
      <c r="ED488" s="6"/>
      <c r="EE488" s="6"/>
      <c r="EF488" s="6"/>
      <c r="EG488" s="6"/>
      <c r="EH488" s="6"/>
      <c r="EI488" s="6"/>
      <c r="EJ488" s="6"/>
      <c r="EK488" s="6"/>
      <c r="EL488" s="6"/>
      <c r="EM488" s="6"/>
      <c r="EN488" s="6"/>
      <c r="EO488" s="6"/>
      <c r="EP488" s="6"/>
      <c r="EQ488" s="6"/>
      <c r="ER488" s="6"/>
      <c r="ES488" s="6"/>
      <c r="ET488" s="6"/>
      <c r="EU488" s="6"/>
      <c r="EV488" s="6"/>
      <c r="EW488" s="6"/>
      <c r="EX488" s="6"/>
      <c r="EY488" s="6"/>
      <c r="EZ488" s="6"/>
      <c r="FA488" s="6"/>
      <c r="FB488" s="6"/>
      <c r="FC488" s="6"/>
      <c r="FD488" s="6"/>
      <c r="FE488" s="6"/>
      <c r="FF488" s="6"/>
      <c r="FG488" s="6"/>
      <c r="FH488" s="6"/>
      <c r="FI488" s="6"/>
      <c r="FJ488" s="6"/>
    </row>
    <row r="489" spans="1:166"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c r="CV489" s="6"/>
      <c r="CW489" s="6"/>
      <c r="CX489" s="6"/>
      <c r="CY489" s="6"/>
      <c r="CZ489" s="6"/>
      <c r="DA489" s="6"/>
      <c r="DB489" s="6"/>
      <c r="DC489" s="6"/>
      <c r="DD489" s="6"/>
      <c r="DE489" s="6"/>
      <c r="DF489" s="6"/>
      <c r="DG489" s="6"/>
      <c r="DH489" s="6"/>
      <c r="DI489" s="6"/>
      <c r="DJ489" s="6"/>
      <c r="DK489" s="6"/>
      <c r="DL489" s="6"/>
      <c r="DM489" s="6"/>
      <c r="DN489" s="6"/>
      <c r="DO489" s="6"/>
      <c r="DP489" s="6"/>
      <c r="DQ489" s="6"/>
      <c r="DR489" s="6"/>
      <c r="DS489" s="6"/>
      <c r="DT489" s="6"/>
      <c r="DU489" s="6"/>
      <c r="DV489" s="6"/>
      <c r="DW489" s="6"/>
      <c r="DX489" s="6"/>
      <c r="DY489" s="6"/>
      <c r="DZ489" s="6"/>
      <c r="EA489" s="6"/>
      <c r="EB489" s="6"/>
      <c r="EC489" s="6"/>
      <c r="ED489" s="6"/>
      <c r="EE489" s="6"/>
      <c r="EF489" s="6"/>
      <c r="EG489" s="6"/>
      <c r="EH489" s="6"/>
      <c r="EI489" s="6"/>
      <c r="EJ489" s="6"/>
      <c r="EK489" s="6"/>
      <c r="EL489" s="6"/>
      <c r="EM489" s="6"/>
      <c r="EN489" s="6"/>
      <c r="EO489" s="6"/>
      <c r="EP489" s="6"/>
      <c r="EQ489" s="6"/>
      <c r="ER489" s="6"/>
      <c r="ES489" s="6"/>
      <c r="ET489" s="6"/>
      <c r="EU489" s="6"/>
      <c r="EV489" s="6"/>
      <c r="EW489" s="6"/>
      <c r="EX489" s="6"/>
      <c r="EY489" s="6"/>
      <c r="EZ489" s="6"/>
      <c r="FA489" s="6"/>
      <c r="FB489" s="6"/>
      <c r="FC489" s="6"/>
      <c r="FD489" s="6"/>
      <c r="FE489" s="6"/>
      <c r="FF489" s="6"/>
      <c r="FG489" s="6"/>
      <c r="FH489" s="6"/>
      <c r="FI489" s="6"/>
      <c r="FJ489" s="6"/>
    </row>
    <row r="490" spans="1:166"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c r="CV490" s="6"/>
      <c r="CW490" s="6"/>
      <c r="CX490" s="6"/>
      <c r="CY490" s="6"/>
      <c r="CZ490" s="6"/>
      <c r="DA490" s="6"/>
      <c r="DB490" s="6"/>
      <c r="DC490" s="6"/>
      <c r="DD490" s="6"/>
      <c r="DE490" s="6"/>
      <c r="DF490" s="6"/>
      <c r="DG490" s="6"/>
      <c r="DH490" s="6"/>
      <c r="DI490" s="6"/>
      <c r="DJ490" s="6"/>
      <c r="DK490" s="6"/>
      <c r="DL490" s="6"/>
      <c r="DM490" s="6"/>
      <c r="DN490" s="6"/>
      <c r="DO490" s="6"/>
      <c r="DP490" s="6"/>
      <c r="DQ490" s="6"/>
      <c r="DR490" s="6"/>
      <c r="DS490" s="6"/>
      <c r="DT490" s="6"/>
      <c r="DU490" s="6"/>
      <c r="DV490" s="6"/>
      <c r="DW490" s="6"/>
      <c r="DX490" s="6"/>
      <c r="DY490" s="6"/>
      <c r="DZ490" s="6"/>
      <c r="EA490" s="6"/>
      <c r="EB490" s="6"/>
      <c r="EC490" s="6"/>
      <c r="ED490" s="6"/>
      <c r="EE490" s="6"/>
      <c r="EF490" s="6"/>
      <c r="EG490" s="6"/>
      <c r="EH490" s="6"/>
      <c r="EI490" s="6"/>
      <c r="EJ490" s="6"/>
      <c r="EK490" s="6"/>
      <c r="EL490" s="6"/>
      <c r="EM490" s="6"/>
      <c r="EN490" s="6"/>
      <c r="EO490" s="6"/>
      <c r="EP490" s="6"/>
      <c r="EQ490" s="6"/>
      <c r="ER490" s="6"/>
      <c r="ES490" s="6"/>
      <c r="ET490" s="6"/>
      <c r="EU490" s="6"/>
      <c r="EV490" s="6"/>
      <c r="EW490" s="6"/>
      <c r="EX490" s="6"/>
      <c r="EY490" s="6"/>
      <c r="EZ490" s="6"/>
      <c r="FA490" s="6"/>
      <c r="FB490" s="6"/>
      <c r="FC490" s="6"/>
      <c r="FD490" s="6"/>
      <c r="FE490" s="6"/>
      <c r="FF490" s="6"/>
      <c r="FG490" s="6"/>
      <c r="FH490" s="6"/>
      <c r="FI490" s="6"/>
      <c r="FJ490" s="6"/>
    </row>
    <row r="491" spans="1:166"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c r="CV491" s="6"/>
      <c r="CW491" s="6"/>
      <c r="CX491" s="6"/>
      <c r="CY491" s="6"/>
      <c r="CZ491" s="6"/>
      <c r="DA491" s="6"/>
      <c r="DB491" s="6"/>
      <c r="DC491" s="6"/>
      <c r="DD491" s="6"/>
      <c r="DE491" s="6"/>
      <c r="DF491" s="6"/>
      <c r="DG491" s="6"/>
      <c r="DH491" s="6"/>
      <c r="DI491" s="6"/>
      <c r="DJ491" s="6"/>
      <c r="DK491" s="6"/>
      <c r="DL491" s="6"/>
      <c r="DM491" s="6"/>
      <c r="DN491" s="6"/>
      <c r="DO491" s="6"/>
      <c r="DP491" s="6"/>
      <c r="DQ491" s="6"/>
      <c r="DR491" s="6"/>
      <c r="DS491" s="6"/>
      <c r="DT491" s="6"/>
      <c r="DU491" s="6"/>
      <c r="DV491" s="6"/>
      <c r="DW491" s="6"/>
      <c r="DX491" s="6"/>
      <c r="DY491" s="6"/>
      <c r="DZ491" s="6"/>
      <c r="EA491" s="6"/>
      <c r="EB491" s="6"/>
      <c r="EC491" s="6"/>
      <c r="ED491" s="6"/>
      <c r="EE491" s="6"/>
      <c r="EF491" s="6"/>
      <c r="EG491" s="6"/>
      <c r="EH491" s="6"/>
      <c r="EI491" s="6"/>
      <c r="EJ491" s="6"/>
      <c r="EK491" s="6"/>
      <c r="EL491" s="6"/>
      <c r="EM491" s="6"/>
      <c r="EN491" s="6"/>
      <c r="EO491" s="6"/>
      <c r="EP491" s="6"/>
      <c r="EQ491" s="6"/>
      <c r="ER491" s="6"/>
      <c r="ES491" s="6"/>
      <c r="ET491" s="6"/>
      <c r="EU491" s="6"/>
      <c r="EV491" s="6"/>
      <c r="EW491" s="6"/>
      <c r="EX491" s="6"/>
      <c r="EY491" s="6"/>
      <c r="EZ491" s="6"/>
      <c r="FA491" s="6"/>
      <c r="FB491" s="6"/>
      <c r="FC491" s="6"/>
      <c r="FD491" s="6"/>
      <c r="FE491" s="6"/>
      <c r="FF491" s="6"/>
      <c r="FG491" s="6"/>
      <c r="FH491" s="6"/>
      <c r="FI491" s="6"/>
      <c r="FJ491" s="6"/>
    </row>
    <row r="492" spans="1:166"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c r="CO492" s="6"/>
      <c r="CP492" s="6"/>
      <c r="CQ492" s="6"/>
      <c r="CR492" s="6"/>
      <c r="CS492" s="6"/>
      <c r="CT492" s="6"/>
      <c r="CU492" s="6"/>
      <c r="CV492" s="6"/>
      <c r="CW492" s="6"/>
      <c r="CX492" s="6"/>
      <c r="CY492" s="6"/>
      <c r="CZ492" s="6"/>
      <c r="DA492" s="6"/>
      <c r="DB492" s="6"/>
      <c r="DC492" s="6"/>
      <c r="DD492" s="6"/>
      <c r="DE492" s="6"/>
      <c r="DF492" s="6"/>
      <c r="DG492" s="6"/>
      <c r="DH492" s="6"/>
      <c r="DI492" s="6"/>
      <c r="DJ492" s="6"/>
      <c r="DK492" s="6"/>
      <c r="DL492" s="6"/>
      <c r="DM492" s="6"/>
      <c r="DN492" s="6"/>
      <c r="DO492" s="6"/>
      <c r="DP492" s="6"/>
      <c r="DQ492" s="6"/>
      <c r="DR492" s="6"/>
      <c r="DS492" s="6"/>
      <c r="DT492" s="6"/>
      <c r="DU492" s="6"/>
      <c r="DV492" s="6"/>
      <c r="DW492" s="6"/>
      <c r="DX492" s="6"/>
      <c r="DY492" s="6"/>
      <c r="DZ492" s="6"/>
      <c r="EA492" s="6"/>
      <c r="EB492" s="6"/>
      <c r="EC492" s="6"/>
      <c r="ED492" s="6"/>
      <c r="EE492" s="6"/>
      <c r="EF492" s="6"/>
      <c r="EG492" s="6"/>
      <c r="EH492" s="6"/>
      <c r="EI492" s="6"/>
      <c r="EJ492" s="6"/>
      <c r="EK492" s="6"/>
      <c r="EL492" s="6"/>
      <c r="EM492" s="6"/>
      <c r="EN492" s="6"/>
      <c r="EO492" s="6"/>
      <c r="EP492" s="6"/>
      <c r="EQ492" s="6"/>
      <c r="ER492" s="6"/>
      <c r="ES492" s="6"/>
      <c r="ET492" s="6"/>
      <c r="EU492" s="6"/>
      <c r="EV492" s="6"/>
      <c r="EW492" s="6"/>
      <c r="EX492" s="6"/>
      <c r="EY492" s="6"/>
      <c r="EZ492" s="6"/>
      <c r="FA492" s="6"/>
      <c r="FB492" s="6"/>
      <c r="FC492" s="6"/>
      <c r="FD492" s="6"/>
      <c r="FE492" s="6"/>
      <c r="FF492" s="6"/>
      <c r="FG492" s="6"/>
      <c r="FH492" s="6"/>
      <c r="FI492" s="6"/>
      <c r="FJ492" s="6"/>
    </row>
    <row r="493" spans="1:166"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c r="CV493" s="6"/>
      <c r="CW493" s="6"/>
      <c r="CX493" s="6"/>
      <c r="CY493" s="6"/>
      <c r="CZ493" s="6"/>
      <c r="DA493" s="6"/>
      <c r="DB493" s="6"/>
      <c r="DC493" s="6"/>
      <c r="DD493" s="6"/>
      <c r="DE493" s="6"/>
      <c r="DF493" s="6"/>
      <c r="DG493" s="6"/>
      <c r="DH493" s="6"/>
      <c r="DI493" s="6"/>
      <c r="DJ493" s="6"/>
      <c r="DK493" s="6"/>
      <c r="DL493" s="6"/>
      <c r="DM493" s="6"/>
      <c r="DN493" s="6"/>
      <c r="DO493" s="6"/>
      <c r="DP493" s="6"/>
      <c r="DQ493" s="6"/>
      <c r="DR493" s="6"/>
      <c r="DS493" s="6"/>
      <c r="DT493" s="6"/>
      <c r="DU493" s="6"/>
      <c r="DV493" s="6"/>
      <c r="DW493" s="6"/>
      <c r="DX493" s="6"/>
      <c r="DY493" s="6"/>
      <c r="DZ493" s="6"/>
      <c r="EA493" s="6"/>
      <c r="EB493" s="6"/>
      <c r="EC493" s="6"/>
      <c r="ED493" s="6"/>
      <c r="EE493" s="6"/>
      <c r="EF493" s="6"/>
      <c r="EG493" s="6"/>
      <c r="EH493" s="6"/>
      <c r="EI493" s="6"/>
      <c r="EJ493" s="6"/>
      <c r="EK493" s="6"/>
      <c r="EL493" s="6"/>
      <c r="EM493" s="6"/>
      <c r="EN493" s="6"/>
      <c r="EO493" s="6"/>
      <c r="EP493" s="6"/>
      <c r="EQ493" s="6"/>
      <c r="ER493" s="6"/>
      <c r="ES493" s="6"/>
      <c r="ET493" s="6"/>
      <c r="EU493" s="6"/>
      <c r="EV493" s="6"/>
      <c r="EW493" s="6"/>
      <c r="EX493" s="6"/>
      <c r="EY493" s="6"/>
      <c r="EZ493" s="6"/>
      <c r="FA493" s="6"/>
      <c r="FB493" s="6"/>
      <c r="FC493" s="6"/>
      <c r="FD493" s="6"/>
      <c r="FE493" s="6"/>
      <c r="FF493" s="6"/>
      <c r="FG493" s="6"/>
      <c r="FH493" s="6"/>
      <c r="FI493" s="6"/>
      <c r="FJ493" s="6"/>
    </row>
    <row r="494" spans="1:166"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c r="CV494" s="6"/>
      <c r="CW494" s="6"/>
      <c r="CX494" s="6"/>
      <c r="CY494" s="6"/>
      <c r="CZ494" s="6"/>
      <c r="DA494" s="6"/>
      <c r="DB494" s="6"/>
      <c r="DC494" s="6"/>
      <c r="DD494" s="6"/>
      <c r="DE494" s="6"/>
      <c r="DF494" s="6"/>
      <c r="DG494" s="6"/>
      <c r="DH494" s="6"/>
      <c r="DI494" s="6"/>
      <c r="DJ494" s="6"/>
      <c r="DK494" s="6"/>
      <c r="DL494" s="6"/>
      <c r="DM494" s="6"/>
      <c r="DN494" s="6"/>
      <c r="DO494" s="6"/>
      <c r="DP494" s="6"/>
      <c r="DQ494" s="6"/>
      <c r="DR494" s="6"/>
      <c r="DS494" s="6"/>
      <c r="DT494" s="6"/>
      <c r="DU494" s="6"/>
      <c r="DV494" s="6"/>
      <c r="DW494" s="6"/>
      <c r="DX494" s="6"/>
      <c r="DY494" s="6"/>
      <c r="DZ494" s="6"/>
      <c r="EA494" s="6"/>
      <c r="EB494" s="6"/>
      <c r="EC494" s="6"/>
      <c r="ED494" s="6"/>
      <c r="EE494" s="6"/>
      <c r="EF494" s="6"/>
      <c r="EG494" s="6"/>
      <c r="EH494" s="6"/>
      <c r="EI494" s="6"/>
      <c r="EJ494" s="6"/>
      <c r="EK494" s="6"/>
      <c r="EL494" s="6"/>
      <c r="EM494" s="6"/>
      <c r="EN494" s="6"/>
      <c r="EO494" s="6"/>
      <c r="EP494" s="6"/>
      <c r="EQ494" s="6"/>
      <c r="ER494" s="6"/>
      <c r="ES494" s="6"/>
      <c r="ET494" s="6"/>
      <c r="EU494" s="6"/>
      <c r="EV494" s="6"/>
      <c r="EW494" s="6"/>
      <c r="EX494" s="6"/>
      <c r="EY494" s="6"/>
      <c r="EZ494" s="6"/>
      <c r="FA494" s="6"/>
      <c r="FB494" s="6"/>
      <c r="FC494" s="6"/>
      <c r="FD494" s="6"/>
      <c r="FE494" s="6"/>
      <c r="FF494" s="6"/>
      <c r="FG494" s="6"/>
      <c r="FH494" s="6"/>
      <c r="FI494" s="6"/>
      <c r="FJ494" s="6"/>
    </row>
    <row r="495" spans="1:166"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c r="CO495" s="6"/>
      <c r="CP495" s="6"/>
      <c r="CQ495" s="6"/>
      <c r="CR495" s="6"/>
      <c r="CS495" s="6"/>
      <c r="CT495" s="6"/>
      <c r="CU495" s="6"/>
      <c r="CV495" s="6"/>
      <c r="CW495" s="6"/>
      <c r="CX495" s="6"/>
      <c r="CY495" s="6"/>
      <c r="CZ495" s="6"/>
      <c r="DA495" s="6"/>
      <c r="DB495" s="6"/>
      <c r="DC495" s="6"/>
      <c r="DD495" s="6"/>
      <c r="DE495" s="6"/>
      <c r="DF495" s="6"/>
      <c r="DG495" s="6"/>
      <c r="DH495" s="6"/>
      <c r="DI495" s="6"/>
      <c r="DJ495" s="6"/>
      <c r="DK495" s="6"/>
      <c r="DL495" s="6"/>
      <c r="DM495" s="6"/>
      <c r="DN495" s="6"/>
      <c r="DO495" s="6"/>
      <c r="DP495" s="6"/>
      <c r="DQ495" s="6"/>
      <c r="DR495" s="6"/>
      <c r="DS495" s="6"/>
      <c r="DT495" s="6"/>
      <c r="DU495" s="6"/>
      <c r="DV495" s="6"/>
      <c r="DW495" s="6"/>
      <c r="DX495" s="6"/>
      <c r="DY495" s="6"/>
      <c r="DZ495" s="6"/>
      <c r="EA495" s="6"/>
      <c r="EB495" s="6"/>
      <c r="EC495" s="6"/>
      <c r="ED495" s="6"/>
      <c r="EE495" s="6"/>
      <c r="EF495" s="6"/>
      <c r="EG495" s="6"/>
      <c r="EH495" s="6"/>
      <c r="EI495" s="6"/>
      <c r="EJ495" s="6"/>
      <c r="EK495" s="6"/>
      <c r="EL495" s="6"/>
      <c r="EM495" s="6"/>
      <c r="EN495" s="6"/>
      <c r="EO495" s="6"/>
      <c r="EP495" s="6"/>
      <c r="EQ495" s="6"/>
      <c r="ER495" s="6"/>
      <c r="ES495" s="6"/>
      <c r="ET495" s="6"/>
      <c r="EU495" s="6"/>
      <c r="EV495" s="6"/>
      <c r="EW495" s="6"/>
      <c r="EX495" s="6"/>
      <c r="EY495" s="6"/>
      <c r="EZ495" s="6"/>
      <c r="FA495" s="6"/>
      <c r="FB495" s="6"/>
      <c r="FC495" s="6"/>
      <c r="FD495" s="6"/>
      <c r="FE495" s="6"/>
      <c r="FF495" s="6"/>
      <c r="FG495" s="6"/>
      <c r="FH495" s="6"/>
      <c r="FI495" s="6"/>
      <c r="FJ495" s="6"/>
    </row>
    <row r="496" spans="1:166"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c r="CO496" s="6"/>
      <c r="CP496" s="6"/>
      <c r="CQ496" s="6"/>
      <c r="CR496" s="6"/>
      <c r="CS496" s="6"/>
      <c r="CT496" s="6"/>
      <c r="CU496" s="6"/>
      <c r="CV496" s="6"/>
      <c r="CW496" s="6"/>
      <c r="CX496" s="6"/>
      <c r="CY496" s="6"/>
      <c r="CZ496" s="6"/>
      <c r="DA496" s="6"/>
      <c r="DB496" s="6"/>
      <c r="DC496" s="6"/>
      <c r="DD496" s="6"/>
      <c r="DE496" s="6"/>
      <c r="DF496" s="6"/>
      <c r="DG496" s="6"/>
      <c r="DH496" s="6"/>
      <c r="DI496" s="6"/>
      <c r="DJ496" s="6"/>
      <c r="DK496" s="6"/>
      <c r="DL496" s="6"/>
      <c r="DM496" s="6"/>
      <c r="DN496" s="6"/>
      <c r="DO496" s="6"/>
      <c r="DP496" s="6"/>
      <c r="DQ496" s="6"/>
      <c r="DR496" s="6"/>
      <c r="DS496" s="6"/>
      <c r="DT496" s="6"/>
      <c r="DU496" s="6"/>
      <c r="DV496" s="6"/>
      <c r="DW496" s="6"/>
      <c r="DX496" s="6"/>
      <c r="DY496" s="6"/>
      <c r="DZ496" s="6"/>
      <c r="EA496" s="6"/>
      <c r="EB496" s="6"/>
      <c r="EC496" s="6"/>
      <c r="ED496" s="6"/>
      <c r="EE496" s="6"/>
      <c r="EF496" s="6"/>
      <c r="EG496" s="6"/>
      <c r="EH496" s="6"/>
      <c r="EI496" s="6"/>
      <c r="EJ496" s="6"/>
      <c r="EK496" s="6"/>
      <c r="EL496" s="6"/>
      <c r="EM496" s="6"/>
      <c r="EN496" s="6"/>
      <c r="EO496" s="6"/>
      <c r="EP496" s="6"/>
      <c r="EQ496" s="6"/>
      <c r="ER496" s="6"/>
      <c r="ES496" s="6"/>
      <c r="ET496" s="6"/>
      <c r="EU496" s="6"/>
      <c r="EV496" s="6"/>
      <c r="EW496" s="6"/>
      <c r="EX496" s="6"/>
      <c r="EY496" s="6"/>
      <c r="EZ496" s="6"/>
      <c r="FA496" s="6"/>
      <c r="FB496" s="6"/>
      <c r="FC496" s="6"/>
      <c r="FD496" s="6"/>
      <c r="FE496" s="6"/>
      <c r="FF496" s="6"/>
      <c r="FG496" s="6"/>
      <c r="FH496" s="6"/>
      <c r="FI496" s="6"/>
      <c r="FJ496"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Marketing Campaign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Shakshii</dc:creator>
  <cp:lastModifiedBy>shakshi malvi</cp:lastModifiedBy>
  <dcterms:created xsi:type="dcterms:W3CDTF">2025-06-11T15:04:22Z</dcterms:created>
  <dcterms:modified xsi:type="dcterms:W3CDTF">2026-01-28T13:33:27Z</dcterms:modified>
</cp:coreProperties>
</file>